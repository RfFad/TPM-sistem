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xr:revisionPtr revIDLastSave="0" documentId="13_ncr:1_{D6456AD9-2EE0-4648-BFCC-BD3EB76D06A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rform Self Audit (Auditor)" sheetId="3" r:id="rId1"/>
    <sheet name="Resume Finding" sheetId="1" r:id="rId2"/>
  </sheets>
  <externalReferences>
    <externalReference r:id="rId3"/>
  </externalReferences>
  <definedNames>
    <definedName name="Excel_BuiltIn__FilterDatabase_1">#REF!</definedName>
    <definedName name="libur">'[1]Data (2)'!$AI$6:$AJ$30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3" l="1"/>
  <c r="Q15" i="3"/>
  <c r="Q10" i="3"/>
  <c r="M10" i="3"/>
  <c r="M20" i="3"/>
  <c r="Q20" i="3"/>
  <c r="I20" i="3"/>
  <c r="F14" i="1"/>
  <c r="F70" i="1"/>
  <c r="I15" i="3"/>
  <c r="I10" i="3"/>
  <c r="E15" i="3"/>
  <c r="E20" i="3"/>
  <c r="E10" i="3"/>
  <c r="H18" i="3" l="1"/>
  <c r="G18" i="3"/>
  <c r="F18" i="3"/>
  <c r="E18" i="3"/>
  <c r="H13" i="3"/>
  <c r="G13" i="3"/>
  <c r="F13" i="3"/>
  <c r="E13" i="3"/>
  <c r="F8" i="3"/>
  <c r="G8" i="3"/>
  <c r="H8" i="3"/>
  <c r="E8" i="3"/>
  <c r="F56" i="1"/>
  <c r="F54" i="1"/>
  <c r="F51" i="1"/>
  <c r="F44" i="1"/>
  <c r="F41" i="1"/>
  <c r="F30" i="1"/>
  <c r="F6" i="1"/>
  <c r="G6" i="1" l="1"/>
  <c r="G25" i="1"/>
  <c r="G51" i="1"/>
  <c r="G36" i="1"/>
  <c r="G62" i="1"/>
</calcChain>
</file>

<file path=xl/sharedStrings.xml><?xml version="1.0" encoding="utf-8"?>
<sst xmlns="http://schemas.openxmlformats.org/spreadsheetml/2006/main" count="254" uniqueCount="140">
  <si>
    <t>MSK</t>
  </si>
  <si>
    <t>Prinsip</t>
  </si>
  <si>
    <t>Level</t>
  </si>
  <si>
    <t>Point Check</t>
  </si>
  <si>
    <t>Total temuan by Point check</t>
  </si>
  <si>
    <t>Total temuan by Prinsip</t>
  </si>
  <si>
    <t>Total temuan by Level</t>
  </si>
  <si>
    <t>KT</t>
  </si>
  <si>
    <t>PNG</t>
  </si>
  <si>
    <t>PSSP</t>
  </si>
  <si>
    <t>KAO</t>
  </si>
  <si>
    <t>Bulan</t>
  </si>
  <si>
    <t>Tahun</t>
  </si>
  <si>
    <t>Point 1.1.1</t>
  </si>
  <si>
    <t>Point 1.1.2</t>
  </si>
  <si>
    <t>Point 1.1.3</t>
  </si>
  <si>
    <t>Point 1.1.4</t>
  </si>
  <si>
    <t>Point 1.2</t>
  </si>
  <si>
    <t>Point 1.3</t>
  </si>
  <si>
    <t>Point 1.4</t>
  </si>
  <si>
    <t>Point 2.1</t>
  </si>
  <si>
    <t>Point 3.1</t>
  </si>
  <si>
    <t>Point 3.2</t>
  </si>
  <si>
    <t>Point 3.3</t>
  </si>
  <si>
    <t>Point 3.4.1</t>
  </si>
  <si>
    <t>Point 3.4.2</t>
  </si>
  <si>
    <t>Point 3.5.1</t>
  </si>
  <si>
    <t>Point 3.5.2</t>
  </si>
  <si>
    <t>Point 3.5.3</t>
  </si>
  <si>
    <t>Point 3.6</t>
  </si>
  <si>
    <t>Point 3.7</t>
  </si>
  <si>
    <t>Point 3.8</t>
  </si>
  <si>
    <t>Point 1.1</t>
  </si>
  <si>
    <t>Point 1.2.1</t>
  </si>
  <si>
    <t>Point 1.2.2</t>
  </si>
  <si>
    <t>Point 2.2</t>
  </si>
  <si>
    <t>Point 3.2.1</t>
  </si>
  <si>
    <t>Point 3.2.2</t>
  </si>
  <si>
    <t>Point 3.2.3</t>
  </si>
  <si>
    <t>Point 3.4</t>
  </si>
  <si>
    <t>Point 2.3</t>
  </si>
  <si>
    <t>Point 3.3.1</t>
  </si>
  <si>
    <t>Point 3.3.2</t>
  </si>
  <si>
    <t>Point 3.4.3</t>
  </si>
  <si>
    <t>Point 3.1.1</t>
  </si>
  <si>
    <t>Point 3.1.2</t>
  </si>
  <si>
    <t>Point 3.3.3</t>
  </si>
  <si>
    <t>Point 2.1.1</t>
  </si>
  <si>
    <t>Point 2.1.2</t>
  </si>
  <si>
    <t>Level 2</t>
  </si>
  <si>
    <t>Level 3</t>
  </si>
  <si>
    <t>Level 1</t>
  </si>
  <si>
    <t>Total Temuan</t>
  </si>
  <si>
    <t>Note :</t>
  </si>
  <si>
    <t>1. Kondisikan total finding sesuai dengan actual finding</t>
  </si>
  <si>
    <t>2. Untuk temuan level by prinsip di short dari besar ke kecil</t>
  </si>
  <si>
    <t>3. Untuk temuan by prinsip di short dari besar ke kecil</t>
  </si>
  <si>
    <t>Plan</t>
  </si>
  <si>
    <t>Actual</t>
  </si>
  <si>
    <t>Februari 2026</t>
  </si>
  <si>
    <t>Auditor</t>
  </si>
  <si>
    <t>Area</t>
  </si>
  <si>
    <t>W1</t>
  </si>
  <si>
    <t>W2</t>
  </si>
  <si>
    <t>W3</t>
  </si>
  <si>
    <t>W4</t>
  </si>
  <si>
    <t>W5</t>
  </si>
  <si>
    <t>Yanan</t>
  </si>
  <si>
    <t>Cahya</t>
  </si>
  <si>
    <t>Ainur</t>
  </si>
  <si>
    <t>Loss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</si>
  <si>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</si>
  <si>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</si>
  <si>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</si>
  <si>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</si>
  <si>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</si>
  <si>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</si>
  <si>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</si>
  <si>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</si>
  <si>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</si>
  <si>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</si>
  <si>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</si>
  <si>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W21</t>
  </si>
  <si>
    <t>W22</t>
  </si>
  <si>
    <t>W23</t>
  </si>
  <si>
    <t>W24</t>
  </si>
  <si>
    <t>W26</t>
  </si>
  <si>
    <t>W27</t>
  </si>
  <si>
    <t>W28</t>
  </si>
  <si>
    <t>W29</t>
  </si>
  <si>
    <t>W31</t>
  </si>
  <si>
    <t>W32</t>
  </si>
  <si>
    <t>W33</t>
  </si>
  <si>
    <t>W34</t>
  </si>
  <si>
    <t>W36</t>
  </si>
  <si>
    <t>W37</t>
  </si>
  <si>
    <t>W38</t>
  </si>
  <si>
    <t>W39</t>
  </si>
  <si>
    <t>Maret 2026</t>
  </si>
  <si>
    <t>Mei 2026</t>
  </si>
  <si>
    <t>Juni 2026</t>
  </si>
  <si>
    <t>Juli 2026</t>
  </si>
  <si>
    <t>Agustus 2026</t>
  </si>
  <si>
    <t>Septemebr 2026</t>
  </si>
  <si>
    <t>W41</t>
  </si>
  <si>
    <t>W42</t>
  </si>
  <si>
    <t>W43</t>
  </si>
  <si>
    <t>W44</t>
  </si>
  <si>
    <t>W46</t>
  </si>
  <si>
    <t>W47</t>
  </si>
  <si>
    <t>W48</t>
  </si>
  <si>
    <t>W49</t>
  </si>
  <si>
    <t>W51</t>
  </si>
  <si>
    <t>W52</t>
  </si>
  <si>
    <t>W53</t>
  </si>
  <si>
    <t>W54</t>
  </si>
  <si>
    <t>Oktober 2026</t>
  </si>
  <si>
    <t>Desember 2026</t>
  </si>
  <si>
    <t>Total Self Audit</t>
  </si>
  <si>
    <t>: 2026</t>
  </si>
  <si>
    <t xml:space="preserve">  </t>
  </si>
  <si>
    <t>Produksi
Rubber Extrussion</t>
  </si>
  <si>
    <t>Produksi
Rubber Compression</t>
  </si>
  <si>
    <t>Produksi
Plastic Injection</t>
  </si>
  <si>
    <t xml:space="preserve"> </t>
  </si>
  <si>
    <t xml:space="preserve">    </t>
  </si>
  <si>
    <t>: Ainur</t>
  </si>
  <si>
    <t>: Mei</t>
  </si>
  <si>
    <t>Leader</t>
  </si>
  <si>
    <t>Dandi</t>
  </si>
  <si>
    <t>Aris</t>
  </si>
  <si>
    <t>Deo</t>
  </si>
  <si>
    <t>Tarno</t>
  </si>
  <si>
    <t>Nabil</t>
  </si>
  <si>
    <t>Schedule Assesment Leader</t>
  </si>
  <si>
    <t>Maul</t>
  </si>
  <si>
    <t>Faris</t>
  </si>
  <si>
    <t>Nick</t>
  </si>
  <si>
    <t>Resume temuan self audit / Assesment Leader</t>
  </si>
  <si>
    <t>Suhar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</si>
</sst>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6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9" xfId="0" applyFont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Yanan Self Audit
Performance </a:t>
            </a:r>
            <a:r>
              <a:rPr lang="id-ID" sz="1200" b="1"/>
              <a:t>Mei</a:t>
            </a:r>
            <a:r>
              <a:rPr lang="en-US" sz="1200" b="1"/>
              <a:t> 2026</a:t>
            </a:r>
          </a:p>
        </c:rich>
      </c:tx>
      <c:overlay val="0"/>
      <c:spPr>
        <a:noFill/>
        <a:ln>
          <a:solidFill>
            <a:srgbClr val="00206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'Perform Self Audit (Auditor)'!$D$7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'Perform Self Audit (Auditor)'!$Q$7:$T$7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D-47B4-816F-3E99B97C6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018025152"/>
        <c:axId val="-1018033856"/>
      </c:barChart>
      <c:lineChart>
        <c:grouping val="standard"/>
        <c:varyColors val="0"/>
        <c:ser>
          <c:idx val="0"/>
          <c:order val="0"/>
          <c:tx>
            <c:strRef>
              <c:f>'Perform Self Audit (Auditor)'!$D$6</c:f>
              <c:strCache>
                <c:ptCount val="1"/>
                <c:pt idx="0">
                  <c:v>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2060"/>
                </a:solidFill>
              </a:ln>
              <a:effectLst/>
            </c:spPr>
          </c:marker>
          <c:val>
            <c:numRef>
              <c:f>'Perform Self Audit (Auditor)'!$Q$6:$T$6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BD-47B4-816F-3E99B97C6FA4}"/>
            </c:ext>
          </c:extLst>
        </c:ser>
        <c:ser>
          <c:idx val="2"/>
          <c:order val="2"/>
          <c:tx>
            <c:strRef>
              <c:f>'Perform Self Audit (Auditor)'!$D$8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'Perform Self Audit (Auditor)'!$Q$8:$T$8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BD-47B4-816F-3E99B97C6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18025152"/>
        <c:axId val="-1018033856"/>
      </c:lineChart>
      <c:catAx>
        <c:axId val="-101802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18033856"/>
        <c:crosses val="autoZero"/>
        <c:auto val="1"/>
        <c:lblAlgn val="ctr"/>
        <c:lblOffset val="100"/>
        <c:noMultiLvlLbl val="0"/>
      </c:catAx>
      <c:valAx>
        <c:axId val="-101803385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Self audit</a:t>
                </a:r>
              </a:p>
            </c:rich>
          </c:tx>
          <c:layout>
            <c:manualLayout>
              <c:xMode val="edge"/>
              <c:yMode val="edge"/>
              <c:x val="6.3856960408684549E-2"/>
              <c:y val="0.313534265186297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18025152"/>
        <c:crosses val="autoZero"/>
        <c:crossBetween val="between"/>
        <c:majorUnit val="1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>
          <a:solidFill>
            <a:srgbClr val="00206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Cahya Self Audit
Performance </a:t>
            </a:r>
            <a:r>
              <a:rPr lang="id-ID" sz="1200" b="1"/>
              <a:t>Mei</a:t>
            </a:r>
            <a:r>
              <a:rPr lang="en-US" sz="1200" b="1"/>
              <a:t> 2026</a:t>
            </a:r>
          </a:p>
        </c:rich>
      </c:tx>
      <c:overlay val="0"/>
      <c:spPr>
        <a:noFill/>
        <a:ln>
          <a:solidFill>
            <a:srgbClr val="00206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'Perform Self Audit (Auditor)'!$D$12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'Perform Self Audit (Auditor)'!$Q$12:$T$12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C-46F0-8997-E3DD8B85E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018023520"/>
        <c:axId val="-1018034400"/>
      </c:barChart>
      <c:lineChart>
        <c:grouping val="standard"/>
        <c:varyColors val="0"/>
        <c:ser>
          <c:idx val="0"/>
          <c:order val="0"/>
          <c:tx>
            <c:strRef>
              <c:f>'Perform Self Audit (Auditor)'!$D$11</c:f>
              <c:strCache>
                <c:ptCount val="1"/>
                <c:pt idx="0">
                  <c:v>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2060"/>
                </a:solidFill>
              </a:ln>
              <a:effectLst/>
            </c:spPr>
          </c:marker>
          <c:val>
            <c:numRef>
              <c:f>'Perform Self Audit (Auditor)'!$Q$11:$T$11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C-46F0-8997-E3DD8B85E5A1}"/>
            </c:ext>
          </c:extLst>
        </c:ser>
        <c:ser>
          <c:idx val="2"/>
          <c:order val="2"/>
          <c:tx>
            <c:strRef>
              <c:f>'Perform Self Audit (Auditor)'!$D$13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'Perform Self Audit (Auditor)'!$Q$13:$T$13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C-46F0-8997-E3DD8B85E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18023520"/>
        <c:axId val="-1018034400"/>
      </c:lineChart>
      <c:catAx>
        <c:axId val="-101802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18034400"/>
        <c:crosses val="autoZero"/>
        <c:auto val="1"/>
        <c:lblAlgn val="ctr"/>
        <c:lblOffset val="100"/>
        <c:noMultiLvlLbl val="0"/>
      </c:catAx>
      <c:valAx>
        <c:axId val="-1018034400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Self audit</a:t>
                </a:r>
              </a:p>
            </c:rich>
          </c:tx>
          <c:layout>
            <c:manualLayout>
              <c:xMode val="edge"/>
              <c:yMode val="edge"/>
              <c:x val="6.3856960408684549E-2"/>
              <c:y val="0.313534265186297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18023520"/>
        <c:crosses val="autoZero"/>
        <c:crossBetween val="between"/>
        <c:majorUnit val="1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>
          <a:solidFill>
            <a:srgbClr val="00206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Ainur Self Audit
Performance </a:t>
            </a:r>
            <a:r>
              <a:rPr lang="id-ID" sz="1200" b="1"/>
              <a:t>Mei</a:t>
            </a:r>
            <a:r>
              <a:rPr lang="en-US" sz="1200" b="1"/>
              <a:t> 2026</a:t>
            </a:r>
          </a:p>
        </c:rich>
      </c:tx>
      <c:overlay val="0"/>
      <c:spPr>
        <a:noFill/>
        <a:ln>
          <a:solidFill>
            <a:srgbClr val="00206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'Perform Self Audit (Auditor)'!$D$17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'Perform Self Audit (Auditor)'!$Q$17:$T$17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B-49E0-B938-197BCEB8D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018022432"/>
        <c:axId val="-1018037120"/>
      </c:barChart>
      <c:lineChart>
        <c:grouping val="standard"/>
        <c:varyColors val="0"/>
        <c:ser>
          <c:idx val="0"/>
          <c:order val="0"/>
          <c:tx>
            <c:strRef>
              <c:f>'Perform Self Audit (Auditor)'!$D$16</c:f>
              <c:strCache>
                <c:ptCount val="1"/>
                <c:pt idx="0">
                  <c:v>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2060"/>
                </a:solidFill>
              </a:ln>
              <a:effectLst/>
            </c:spPr>
          </c:marker>
          <c:val>
            <c:numRef>
              <c:f>'Perform Self Audit (Auditor)'!$Q$16:$T$16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B-49E0-B938-197BCEB8D584}"/>
            </c:ext>
          </c:extLst>
        </c:ser>
        <c:ser>
          <c:idx val="2"/>
          <c:order val="2"/>
          <c:tx>
            <c:strRef>
              <c:f>'Perform Self Audit (Auditor)'!$D$18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val>
            <c:numRef>
              <c:f>'Perform Self Audit (Auditor)'!$Q$18:$T$18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5B-49E0-B938-197BCEB8D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18022432"/>
        <c:axId val="-1018037120"/>
      </c:lineChart>
      <c:catAx>
        <c:axId val="-10180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18037120"/>
        <c:crosses val="autoZero"/>
        <c:auto val="1"/>
        <c:lblAlgn val="ctr"/>
        <c:lblOffset val="100"/>
        <c:noMultiLvlLbl val="0"/>
      </c:catAx>
      <c:valAx>
        <c:axId val="-1018037120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Self audit</a:t>
                </a:r>
              </a:p>
            </c:rich>
          </c:tx>
          <c:layout>
            <c:manualLayout>
              <c:xMode val="edge"/>
              <c:yMode val="edge"/>
              <c:x val="6.3856960408684549E-2"/>
              <c:y val="0.313534265186297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18022432"/>
        <c:crosses val="autoZero"/>
        <c:crossBetween val="between"/>
        <c:majorUnit val="1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rgbClr val="002060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>
          <a:solidFill>
            <a:srgbClr val="00206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Prinsip MSK
Level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rgbClr val="002060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E9-4F33-9903-CD83E27086C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DE9-4F33-9903-CD83E27086CB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DE9-4F33-9903-CD83E27086CB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DE9-4F33-9903-CD83E27086CB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'Resume Finding'!$D$6:$D$12</c15:sqref>
                  </c15:fullRef>
                </c:ext>
              </c:extLst>
              <c:f>('Resume Finding'!$D$6:$D$9,'Resume Finding'!$D$11)</c:f>
              <c:strCache>
                <c:ptCount val="5"/>
                <c:pt idx="0">
                  <c:v>Point 1.1.1</c:v>
                </c:pt>
                <c:pt idx="1">
                  <c:v>Point 1.1.2</c:v>
                </c:pt>
                <c:pt idx="2">
                  <c:v>Point 1.1.3</c:v>
                </c:pt>
                <c:pt idx="3">
                  <c:v>Point 1.1.4</c:v>
                </c:pt>
                <c:pt idx="4">
                  <c:v>Point 1.3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'Resume Finding'!$E$6:$E$12</c15:sqref>
                  </c15:fullRef>
                </c:ext>
              </c:extLst>
              <c:f>('Resume Finding'!$E$6:$E$9,'Resume Finding'!$E$11)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E9-4F33-9903-CD83E2708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-1503195632"/>
        <c:axId val="-1503210864"/>
      </c:barChart>
      <c:catAx>
        <c:axId val="-150319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503210864"/>
        <c:crosses val="autoZero"/>
        <c:auto val="1"/>
        <c:lblAlgn val="ctr"/>
        <c:lblOffset val="100"/>
        <c:noMultiLvlLbl val="0"/>
      </c:catAx>
      <c:valAx>
        <c:axId val="-150321086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Qty temuan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503195632"/>
        <c:crosses val="autoZero"/>
        <c:crossBetween val="between"/>
        <c:majorUnit val="1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Prinsip MSK
Level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rgbClr val="002060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E0-4282-A1AF-25B826D09921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7E0-4282-A1AF-25B826D09921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'Resume Finding'!$D$14:$D$24</c15:sqref>
                  </c15:fullRef>
                </c:ext>
              </c:extLst>
              <c:f>('Resume Finding'!$D$14,'Resume Finding'!$D$16,'Resume Finding'!$D$19,'Resume Finding'!$D$23)</c:f>
              <c:strCache>
                <c:ptCount val="4"/>
                <c:pt idx="0">
                  <c:v>Point 3.1</c:v>
                </c:pt>
                <c:pt idx="1">
                  <c:v>Point 3.3</c:v>
                </c:pt>
                <c:pt idx="2">
                  <c:v>Point 3.5.1</c:v>
                </c:pt>
                <c:pt idx="3">
                  <c:v>Point 3.7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'Resume Finding'!$E$14:$E$24</c15:sqref>
                  </c15:fullRef>
                </c:ext>
              </c:extLst>
              <c:f>('Resume Finding'!$E$14,'Resume Finding'!$E$16,'Resume Finding'!$E$19,'Resume Finding'!$E$23)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'Resume Finding'!$E$15</c15:sqref>
                  <c15:spPr xmlns:c15="http://schemas.microsoft.com/office/drawing/2012/chart">
                    <a:solidFill>
                      <a:srgbClr val="FF0000"/>
                    </a:solidFill>
                    <a:ln>
                      <a:solidFill>
                        <a:srgbClr val="002060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'Resume Finding'!$E$17</c15:sqref>
                  <c15:spPr xmlns:c15="http://schemas.microsoft.com/office/drawing/2012/chart">
                    <a:solidFill>
                      <a:schemeClr val="accent2">
                        <a:lumMod val="75000"/>
                      </a:schemeClr>
                    </a:solidFill>
                    <a:ln>
                      <a:solidFill>
                        <a:srgbClr val="002060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'Resume Finding'!$E$21</c15:sqref>
                  <c15:spPr xmlns:c15="http://schemas.microsoft.com/office/drawing/2012/chart">
                    <a:solidFill>
                      <a:schemeClr val="accent6">
                        <a:lumMod val="50000"/>
                      </a:schemeClr>
                    </a:solidFill>
                    <a:ln>
                      <a:solidFill>
                        <a:srgbClr val="002060"/>
                      </a:solidFill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A-57E0-4282-A1AF-25B826D09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-1503207056"/>
        <c:axId val="-1505663328"/>
      </c:barChart>
      <c:catAx>
        <c:axId val="-150320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505663328"/>
        <c:crosses val="autoZero"/>
        <c:auto val="1"/>
        <c:lblAlgn val="ctr"/>
        <c:lblOffset val="100"/>
        <c:noMultiLvlLbl val="0"/>
      </c:catAx>
      <c:valAx>
        <c:axId val="-150566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Qty temuan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5032070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Temuan MSK by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 Finding'!$Q$4</c:f>
              <c:strCache>
                <c:ptCount val="1"/>
                <c:pt idx="0">
                  <c:v>Total Temuan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2060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AB-4438-8878-4E3BF19AD72D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AB-4438-8878-4E3BF19AD72D}"/>
              </c:ext>
            </c:extLst>
          </c:dPt>
          <c:cat>
            <c:strRef>
              <c:f>'Resume Finding'!$P$5:$P$7</c:f>
              <c:strCache>
                <c:ptCount val="3"/>
                <c:pt idx="0">
                  <c:v>Level 3</c:v>
                </c:pt>
                <c:pt idx="1">
                  <c:v>Level 1</c:v>
                </c:pt>
                <c:pt idx="2">
                  <c:v>Level 2</c:v>
                </c:pt>
              </c:strCache>
            </c:strRef>
          </c:cat>
          <c:val>
            <c:numRef>
              <c:f>'Resume Finding'!$Q$5:$Q$7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AB-4438-8878-4E3BF19AD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-1018034944"/>
        <c:axId val="-1018032224"/>
      </c:barChart>
      <c:catAx>
        <c:axId val="-101803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18032224"/>
        <c:crosses val="autoZero"/>
        <c:auto val="1"/>
        <c:lblAlgn val="ctr"/>
        <c:lblOffset val="100"/>
        <c:noMultiLvlLbl val="0"/>
      </c:catAx>
      <c:valAx>
        <c:axId val="-101803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Qty temuan</a:t>
                </a:r>
              </a:p>
            </c:rich>
          </c:tx>
          <c:layout>
            <c:manualLayout>
              <c:xMode val="edge"/>
              <c:yMode val="edge"/>
              <c:x val="3.9879157873221958E-2"/>
              <c:y val="0.297079780572036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180349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Temuan by Prinsip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 Finding'!$C$77</c:f>
              <c:strCache>
                <c:ptCount val="1"/>
                <c:pt idx="0">
                  <c:v>Total Temuan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2060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36-415A-9F30-D3A998A4DC04}"/>
              </c:ext>
            </c:extLst>
          </c:dPt>
          <c:dPt>
            <c:idx val="2"/>
            <c:invertIfNegative val="0"/>
            <c:bubble3D val="0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36-415A-9F30-D3A998A4DC04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36-415A-9F30-D3A998A4DC04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36-415A-9F30-D3A998A4DC04}"/>
              </c:ext>
            </c:extLst>
          </c:dPt>
          <c:cat>
            <c:strRef>
              <c:f>'Resume Finding'!$B$78:$B$82</c:f>
              <c:strCache>
                <c:ptCount val="5"/>
                <c:pt idx="0">
                  <c:v>MSK</c:v>
                </c:pt>
                <c:pt idx="1">
                  <c:v>PNG</c:v>
                </c:pt>
                <c:pt idx="2">
                  <c:v>KAO</c:v>
                </c:pt>
                <c:pt idx="3">
                  <c:v>KT</c:v>
                </c:pt>
                <c:pt idx="4">
                  <c:v>PSSP</c:v>
                </c:pt>
              </c:strCache>
            </c:strRef>
          </c:cat>
          <c:val>
            <c:numRef>
              <c:f>'Resume Finding'!$C$78:$C$82</c:f>
              <c:numCache>
                <c:formatCode>General</c:formatCode>
                <c:ptCount val="5"/>
                <c:pt idx="0">
                  <c:v>12</c:v>
                </c:pt>
                <c:pt idx="1">
                  <c:v>6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36-415A-9F30-D3A998A4D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-1018022976"/>
        <c:axId val="-1018024064"/>
      </c:barChart>
      <c:catAx>
        <c:axId val="-101802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18024064"/>
        <c:crosses val="autoZero"/>
        <c:auto val="1"/>
        <c:lblAlgn val="ctr"/>
        <c:lblOffset val="100"/>
        <c:noMultiLvlLbl val="0"/>
      </c:catAx>
      <c:valAx>
        <c:axId val="-101802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Qty temuan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-10180229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</a:t>
            </a:r>
            <a:r>
              <a:rPr lang="id-ID"/>
              <a:t>rinsip</a:t>
            </a:r>
            <a:r>
              <a:rPr lang="id-ID" baseline="0"/>
              <a:t> KT</a:t>
            </a:r>
          </a:p>
          <a:p>
            <a:pPr>
              <a:defRPr/>
            </a:pPr>
            <a:r>
              <a:rPr lang="id-ID" baseline="0"/>
              <a:t>Level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'Resume Finding'!$D$28:$D$29</c:f>
              <c:strCache>
                <c:ptCount val="2"/>
                <c:pt idx="0">
                  <c:v>Point 2.1</c:v>
                </c:pt>
                <c:pt idx="1">
                  <c:v>Point 2.2</c:v>
                </c:pt>
              </c:strCache>
            </c:strRef>
          </c:cat>
          <c:val>
            <c:numRef>
              <c:f>'Resume Finding'!$E$28:$E$29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4F42-4AB3-8489-87331202A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01130856"/>
        <c:axId val="501124624"/>
      </c:barChart>
      <c:catAx>
        <c:axId val="501130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01124624"/>
        <c:crosses val="autoZero"/>
        <c:auto val="1"/>
        <c:lblAlgn val="ctr"/>
        <c:lblOffset val="100"/>
        <c:noMultiLvlLbl val="0"/>
      </c:catAx>
      <c:valAx>
        <c:axId val="5011246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01130856"/>
        <c:crosses val="autoZero"/>
        <c:crossBetween val="between"/>
        <c:majorUnit val="1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Prinsip</a:t>
            </a:r>
            <a:r>
              <a:rPr lang="id-ID" baseline="0"/>
              <a:t> KT</a:t>
            </a:r>
          </a:p>
          <a:p>
            <a:pPr>
              <a:defRPr/>
            </a:pPr>
            <a:r>
              <a:rPr lang="id-ID" baseline="0"/>
              <a:t>Level 1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'Resume Finding'!$D$25:$D$27</c:f>
              <c:strCache>
                <c:ptCount val="3"/>
                <c:pt idx="0">
                  <c:v>Point 1.1</c:v>
                </c:pt>
                <c:pt idx="1">
                  <c:v>Point 1.2.1</c:v>
                </c:pt>
                <c:pt idx="2">
                  <c:v>Point 1.2.2</c:v>
                </c:pt>
              </c:strCache>
            </c:strRef>
          </c:cat>
          <c:val>
            <c:numRef>
              <c:f>'Resume Finding'!$E$25:$E$27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39D2-42F7-98DD-833E4A52BAA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09687384"/>
        <c:axId val="809687712"/>
      </c:barChart>
      <c:catAx>
        <c:axId val="809687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09687712"/>
        <c:crosses val="autoZero"/>
        <c:auto val="1"/>
        <c:lblAlgn val="ctr"/>
        <c:lblOffset val="100"/>
        <c:noMultiLvlLbl val="0"/>
      </c:catAx>
      <c:valAx>
        <c:axId val="80968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096873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Prinsip</a:t>
            </a:r>
            <a:r>
              <a:rPr lang="id-ID" baseline="0"/>
              <a:t> KT</a:t>
            </a:r>
          </a:p>
          <a:p>
            <a:pPr>
              <a:defRPr/>
            </a:pPr>
            <a:r>
              <a:rPr lang="id-ID" baseline="0"/>
              <a:t>Level 3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'Resume Finding'!$D$30:$D$35</c:f>
              <c:strCache>
                <c:ptCount val="6"/>
                <c:pt idx="0">
                  <c:v>Point 3.1</c:v>
                </c:pt>
                <c:pt idx="1">
                  <c:v>Point 3.2.1</c:v>
                </c:pt>
                <c:pt idx="2">
                  <c:v>Point 3.2.2</c:v>
                </c:pt>
                <c:pt idx="3">
                  <c:v>Point 3.2.3</c:v>
                </c:pt>
                <c:pt idx="4">
                  <c:v>Point 3.3</c:v>
                </c:pt>
                <c:pt idx="5">
                  <c:v>Point 3.4</c:v>
                </c:pt>
              </c:strCache>
            </c:strRef>
          </c:cat>
          <c:val>
            <c:numRef>
              <c:f>'Resume Finding'!$E$30:$E$35</c:f>
              <c:numCache>
                <c:formatCode>General</c:formatCode>
                <c:ptCount val="6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0-4236-8481-D6EFA698F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9695584"/>
        <c:axId val="809705096"/>
      </c:barChart>
      <c:catAx>
        <c:axId val="80969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09705096"/>
        <c:crosses val="autoZero"/>
        <c:auto val="1"/>
        <c:lblAlgn val="ctr"/>
        <c:lblOffset val="100"/>
        <c:noMultiLvlLbl val="0"/>
      </c:catAx>
      <c:valAx>
        <c:axId val="809705096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QTY</a:t>
                </a:r>
                <a:r>
                  <a:rPr lang="id-ID" baseline="0"/>
                  <a:t> Temuan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09695584"/>
        <c:crosses val="autoZero"/>
        <c:crossBetween val="between"/>
        <c:majorUnit val="1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Temuan</a:t>
            </a:r>
            <a:r>
              <a:rPr lang="id-ID" baseline="0"/>
              <a:t> KT by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 Finding'!$J$54</c:f>
              <c:strCache>
                <c:ptCount val="1"/>
                <c:pt idx="0">
                  <c:v>Total Temuan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5A-40CF-BFA4-38C3CEB9A47B}"/>
              </c:ext>
            </c:extLst>
          </c:dPt>
          <c:cat>
            <c:strRef>
              <c:f>'Resume Finding'!$I$55:$I$57</c:f>
              <c:strCache>
                <c:ptCount val="3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</c:strCache>
            </c:strRef>
          </c:cat>
          <c:val>
            <c:numRef>
              <c:f>'Resume Finding'!$J$55:$J$57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A-40CF-BFA4-38C3CEB9A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99075432"/>
        <c:axId val="499068544"/>
      </c:barChart>
      <c:catAx>
        <c:axId val="49907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99068544"/>
        <c:crosses val="autoZero"/>
        <c:auto val="1"/>
        <c:lblAlgn val="ctr"/>
        <c:lblOffset val="100"/>
        <c:noMultiLvlLbl val="0"/>
      </c:catAx>
      <c:valAx>
        <c:axId val="49906854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Qty Temuan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99075432"/>
        <c:crosses val="autoZero"/>
        <c:crossBetween val="between"/>
        <c:majorUnit val="1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Prinsip</a:t>
            </a:r>
            <a:r>
              <a:rPr lang="id-ID" baseline="0"/>
              <a:t> PNG</a:t>
            </a:r>
          </a:p>
          <a:p>
            <a:pPr>
              <a:defRPr/>
            </a:pPr>
            <a:r>
              <a:rPr lang="id-ID" baseline="0"/>
              <a:t>Level 1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'Resume Finding'!$D$36:$D$40</c:f>
              <c:strCache>
                <c:ptCount val="5"/>
                <c:pt idx="0">
                  <c:v>Point 1.1.1</c:v>
                </c:pt>
                <c:pt idx="1">
                  <c:v>Point 1.1.2</c:v>
                </c:pt>
                <c:pt idx="2">
                  <c:v>Point 1.1.3</c:v>
                </c:pt>
                <c:pt idx="3">
                  <c:v>Point 1.1</c:v>
                </c:pt>
                <c:pt idx="4">
                  <c:v>Point 1.3</c:v>
                </c:pt>
              </c:strCache>
            </c:strRef>
          </c:cat>
          <c:val>
            <c:numRef>
              <c:f>'Resume Finding'!$E$36:$E$40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C15B-4479-858B-1E3D56592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21347640"/>
        <c:axId val="921348296"/>
      </c:barChart>
      <c:catAx>
        <c:axId val="921347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21348296"/>
        <c:crosses val="autoZero"/>
        <c:auto val="1"/>
        <c:lblAlgn val="ctr"/>
        <c:lblOffset val="100"/>
        <c:noMultiLvlLbl val="0"/>
      </c:catAx>
      <c:valAx>
        <c:axId val="921348296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QTY Temuan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21347640"/>
        <c:crosses val="autoZero"/>
        <c:crossBetween val="between"/>
        <c:majorUnit val="1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Prinsip</a:t>
            </a:r>
            <a:r>
              <a:rPr lang="id-ID" baseline="0"/>
              <a:t> PNG</a:t>
            </a:r>
          </a:p>
          <a:p>
            <a:pPr>
              <a:defRPr/>
            </a:pPr>
            <a:r>
              <a:rPr lang="id-ID" baseline="0"/>
              <a:t>Level 2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'Resume Finding'!$D$41:$D$43</c:f>
              <c:strCache>
                <c:ptCount val="3"/>
                <c:pt idx="0">
                  <c:v>Point 2.1</c:v>
                </c:pt>
                <c:pt idx="1">
                  <c:v>Point 2.2</c:v>
                </c:pt>
                <c:pt idx="2">
                  <c:v>Point 2.3</c:v>
                </c:pt>
              </c:strCache>
            </c:strRef>
          </c:cat>
          <c:val>
            <c:numRef>
              <c:f>'Resume Finding'!$E$41:$E$43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D-4CCF-99C1-0513B18D1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21366008"/>
        <c:axId val="921368960"/>
      </c:barChart>
      <c:catAx>
        <c:axId val="921366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21368960"/>
        <c:crosses val="autoZero"/>
        <c:auto val="1"/>
        <c:lblAlgn val="ctr"/>
        <c:lblOffset val="100"/>
        <c:noMultiLvlLbl val="0"/>
      </c:catAx>
      <c:valAx>
        <c:axId val="921368960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QTY Temuan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21366008"/>
        <c:crosses val="autoZero"/>
        <c:crossBetween val="between"/>
        <c:majorUnit val="1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Prinsip</a:t>
            </a:r>
            <a:r>
              <a:rPr lang="id-ID" baseline="0"/>
              <a:t> PNG</a:t>
            </a:r>
          </a:p>
          <a:p>
            <a:pPr>
              <a:defRPr/>
            </a:pPr>
            <a:r>
              <a:rPr lang="id-ID" baseline="0"/>
              <a:t>Level 3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'Resume Finding'!$D$44:$D$50</c:f>
              <c:strCache>
                <c:ptCount val="7"/>
                <c:pt idx="0">
                  <c:v>Point 3.1</c:v>
                </c:pt>
                <c:pt idx="1">
                  <c:v>Point 3.2</c:v>
                </c:pt>
                <c:pt idx="2">
                  <c:v>Point 3.3.1</c:v>
                </c:pt>
                <c:pt idx="3">
                  <c:v>Point 3.3.2</c:v>
                </c:pt>
                <c:pt idx="4">
                  <c:v>Point 3.4.1</c:v>
                </c:pt>
                <c:pt idx="5">
                  <c:v>Point 3.4.2</c:v>
                </c:pt>
                <c:pt idx="6">
                  <c:v>Point 3.4.3</c:v>
                </c:pt>
              </c:strCache>
            </c:strRef>
          </c:cat>
          <c:val>
            <c:numRef>
              <c:f>'Resume Finding'!$E$44:$E$50</c:f>
              <c:numCache>
                <c:formatCode>General</c:formatCode>
                <c:ptCount val="7"/>
                <c:pt idx="1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6-4CFC-9986-699644758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9733960"/>
        <c:axId val="809728712"/>
      </c:barChart>
      <c:catAx>
        <c:axId val="809733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09728712"/>
        <c:crosses val="autoZero"/>
        <c:auto val="1"/>
        <c:lblAlgn val="ctr"/>
        <c:lblOffset val="100"/>
        <c:noMultiLvlLbl val="0"/>
      </c:catAx>
      <c:valAx>
        <c:axId val="809728712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QTY</a:t>
                </a:r>
                <a:r>
                  <a:rPr lang="id-ID" baseline="0"/>
                  <a:t> Temuan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09733960"/>
        <c:crosses val="autoZero"/>
        <c:crossBetween val="between"/>
        <c:majorUnit val="1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Temuan</a:t>
            </a:r>
            <a:r>
              <a:rPr lang="id-ID"/>
              <a:t> PNG</a:t>
            </a:r>
            <a:r>
              <a:rPr lang="id-ID" baseline="0"/>
              <a:t> by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 Finding'!$AC$5</c:f>
              <c:strCache>
                <c:ptCount val="1"/>
                <c:pt idx="0">
                  <c:v>Total Temuan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F-433E-98BF-03C35821094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B8F-433E-98BF-03C358210949}"/>
              </c:ext>
            </c:extLst>
          </c:dPt>
          <c:cat>
            <c:strRef>
              <c:f>'Resume Finding'!$AB$6:$AB$8</c:f>
              <c:strCache>
                <c:ptCount val="3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</c:strCache>
            </c:strRef>
          </c:cat>
          <c:val>
            <c:numRef>
              <c:f>'Resume Finding'!$AC$6:$AC$8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F-433E-98BF-03C358210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2087288"/>
        <c:axId val="802079744"/>
      </c:barChart>
      <c:catAx>
        <c:axId val="802087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02079744"/>
        <c:crosses val="autoZero"/>
        <c:auto val="1"/>
        <c:lblAlgn val="ctr"/>
        <c:lblOffset val="100"/>
        <c:noMultiLvlLbl val="0"/>
      </c:catAx>
      <c:valAx>
        <c:axId val="80207974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QTY</a:t>
                </a:r>
                <a:r>
                  <a:rPr lang="id-ID" baseline="0"/>
                  <a:t> Temuan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02087288"/>
        <c:crosses val="autoZero"/>
        <c:crossBetween val="between"/>
        <c:majorUnit val="1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Prinsip PSSP</a:t>
            </a:r>
          </a:p>
          <a:p>
            <a:pPr>
              <a:defRPr/>
            </a:pPr>
            <a:r>
              <a:rPr lang="id-ID"/>
              <a:t>Level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'Resume Finding'!$D$51:$D$53</c:f>
              <c:strCache>
                <c:ptCount val="3"/>
                <c:pt idx="0">
                  <c:v>Point 1.1</c:v>
                </c:pt>
                <c:pt idx="1">
                  <c:v>Point 1.2</c:v>
                </c:pt>
                <c:pt idx="2">
                  <c:v>Point 1.3</c:v>
                </c:pt>
              </c:strCache>
            </c:strRef>
          </c:cat>
          <c:val>
            <c:numRef>
              <c:f>'Resume Finding'!$E$51:$E$53</c:f>
              <c:numCache>
                <c:formatCode>General</c:formatCode>
                <c:ptCount val="3"/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6-448A-8EA8-36B5C6422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41712640"/>
        <c:axId val="941712968"/>
      </c:barChart>
      <c:catAx>
        <c:axId val="94171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41712968"/>
        <c:crosses val="autoZero"/>
        <c:auto val="1"/>
        <c:lblAlgn val="ctr"/>
        <c:lblOffset val="100"/>
        <c:noMultiLvlLbl val="0"/>
      </c:catAx>
      <c:valAx>
        <c:axId val="94171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QTY</a:t>
                </a:r>
                <a:r>
                  <a:rPr lang="id-ID" baseline="0"/>
                  <a:t> Temuan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417126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Prinsip</a:t>
            </a:r>
            <a:r>
              <a:rPr lang="id-ID" baseline="0"/>
              <a:t> PSSP</a:t>
            </a:r>
          </a:p>
          <a:p>
            <a:pPr>
              <a:defRPr/>
            </a:pPr>
            <a:r>
              <a:rPr lang="id-ID" baseline="0"/>
              <a:t>Level 2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'Resume Finding'!$D$54:$D$55</c:f>
              <c:strCache>
                <c:ptCount val="2"/>
                <c:pt idx="0">
                  <c:v>Point 2.1</c:v>
                </c:pt>
                <c:pt idx="1">
                  <c:v>Point 2.2</c:v>
                </c:pt>
              </c:strCache>
            </c:strRef>
          </c:cat>
          <c:val>
            <c:numRef>
              <c:f>'Resume Finding'!$E$54:$E$55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3-48B8-9A20-317A2AD14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53448712"/>
        <c:axId val="953447400"/>
      </c:barChart>
      <c:catAx>
        <c:axId val="953448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53447400"/>
        <c:crosses val="autoZero"/>
        <c:auto val="1"/>
        <c:lblAlgn val="ctr"/>
        <c:lblOffset val="100"/>
        <c:noMultiLvlLbl val="0"/>
      </c:catAx>
      <c:valAx>
        <c:axId val="95344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QTY</a:t>
                </a:r>
                <a:r>
                  <a:rPr lang="id-ID" baseline="0"/>
                  <a:t> Temuan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534487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Prinsip</a:t>
            </a:r>
            <a:r>
              <a:rPr lang="id-ID" baseline="0"/>
              <a:t> PSSP</a:t>
            </a:r>
          </a:p>
          <a:p>
            <a:pPr>
              <a:defRPr/>
            </a:pPr>
            <a:r>
              <a:rPr lang="id-ID" baseline="0"/>
              <a:t>Level 3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'Resume Finding'!$D$56:$D$61</c:f>
              <c:strCache>
                <c:ptCount val="6"/>
                <c:pt idx="0">
                  <c:v>Point 3.1.1</c:v>
                </c:pt>
                <c:pt idx="1">
                  <c:v>Point 3.1.2</c:v>
                </c:pt>
                <c:pt idx="2">
                  <c:v>Point 3.2</c:v>
                </c:pt>
                <c:pt idx="3">
                  <c:v>Point 3.3.1</c:v>
                </c:pt>
                <c:pt idx="4">
                  <c:v>Point 3.3.2</c:v>
                </c:pt>
                <c:pt idx="5">
                  <c:v>Point 3.3.3</c:v>
                </c:pt>
              </c:strCache>
            </c:strRef>
          </c:cat>
          <c:val>
            <c:numRef>
              <c:f>'Resume Finding'!$E$56:$E$61</c:f>
              <c:numCache>
                <c:formatCode>General</c:formatCode>
                <c:ptCount val="6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0-49AA-B2DF-3D4C19BB3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71711320"/>
        <c:axId val="871709680"/>
      </c:barChart>
      <c:catAx>
        <c:axId val="87171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71709680"/>
        <c:crosses val="autoZero"/>
        <c:auto val="1"/>
        <c:lblAlgn val="ctr"/>
        <c:lblOffset val="100"/>
        <c:noMultiLvlLbl val="0"/>
      </c:catAx>
      <c:valAx>
        <c:axId val="87170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8717113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id-ID" baseline="0"/>
              <a:t> Temuan PSSP by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 Finding'!$AC$51</c:f>
              <c:strCache>
                <c:ptCount val="1"/>
                <c:pt idx="0">
                  <c:v>Total Temuan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AB0-42AA-85FC-69AAB61EB92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B0-42AA-85FC-69AAB61EB925}"/>
              </c:ext>
            </c:extLst>
          </c:dPt>
          <c:cat>
            <c:strRef>
              <c:f>'Resume Finding'!$AB$52:$AB$54</c:f>
              <c:strCache>
                <c:ptCount val="3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</c:strCache>
            </c:strRef>
          </c:cat>
          <c:val>
            <c:numRef>
              <c:f>'Resume Finding'!$AC$52:$AC$54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0-42AA-85FC-69AAB61EB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41187216"/>
        <c:axId val="941186888"/>
      </c:barChart>
      <c:catAx>
        <c:axId val="94118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41186888"/>
        <c:crosses val="autoZero"/>
        <c:auto val="1"/>
        <c:lblAlgn val="ctr"/>
        <c:lblOffset val="100"/>
        <c:noMultiLvlLbl val="0"/>
      </c:catAx>
      <c:valAx>
        <c:axId val="941186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QTY</a:t>
                </a:r>
                <a:r>
                  <a:rPr lang="id-ID" baseline="0"/>
                  <a:t> Temuan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411872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Prinsip</a:t>
            </a:r>
            <a:r>
              <a:rPr lang="id-ID" baseline="0"/>
              <a:t> KAO</a:t>
            </a:r>
          </a:p>
          <a:p>
            <a:pPr>
              <a:defRPr/>
            </a:pPr>
            <a:r>
              <a:rPr lang="id-ID" baseline="0"/>
              <a:t>Level 1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'Resume Finding'!$D$62:$D$65</c:f>
              <c:strCache>
                <c:ptCount val="4"/>
                <c:pt idx="0">
                  <c:v>Point 1.1.1</c:v>
                </c:pt>
                <c:pt idx="1">
                  <c:v>Point 1.1.2</c:v>
                </c:pt>
                <c:pt idx="2">
                  <c:v>Point 1.1.3</c:v>
                </c:pt>
                <c:pt idx="3">
                  <c:v>Point 1.2</c:v>
                </c:pt>
              </c:strCache>
            </c:strRef>
          </c:cat>
          <c:val>
            <c:numRef>
              <c:f>'Resume Finding'!$E$62:$E$65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ED8F-44F8-AA0E-26018E739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57934880"/>
        <c:axId val="957935536"/>
      </c:barChart>
      <c:catAx>
        <c:axId val="95793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57935536"/>
        <c:crosses val="autoZero"/>
        <c:auto val="1"/>
        <c:lblAlgn val="ctr"/>
        <c:lblOffset val="100"/>
        <c:noMultiLvlLbl val="0"/>
      </c:catAx>
      <c:valAx>
        <c:axId val="95793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QTY</a:t>
                </a:r>
                <a:r>
                  <a:rPr lang="id-ID" baseline="0"/>
                  <a:t> Temuan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579348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Prinsip</a:t>
            </a:r>
            <a:r>
              <a:rPr lang="id-ID" baseline="0"/>
              <a:t> KAO</a:t>
            </a:r>
          </a:p>
          <a:p>
            <a:pPr>
              <a:defRPr/>
            </a:pPr>
            <a:r>
              <a:rPr lang="id-ID" baseline="0"/>
              <a:t>Level 2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'Resume Finding'!$D$66:$D$69</c:f>
              <c:strCache>
                <c:ptCount val="4"/>
                <c:pt idx="0">
                  <c:v>Point 2.1.1</c:v>
                </c:pt>
                <c:pt idx="1">
                  <c:v>Point 2.1.2</c:v>
                </c:pt>
                <c:pt idx="2">
                  <c:v>Point 2.2</c:v>
                </c:pt>
                <c:pt idx="3">
                  <c:v>Point 2.3</c:v>
                </c:pt>
              </c:strCache>
            </c:strRef>
          </c:cat>
          <c:val>
            <c:numRef>
              <c:f>'Resume Finding'!$E$66:$E$69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C20B-4D61-BAA3-3DD44A711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08268568"/>
        <c:axId val="908268240"/>
      </c:barChart>
      <c:catAx>
        <c:axId val="908268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08268240"/>
        <c:crosses val="autoZero"/>
        <c:auto val="1"/>
        <c:lblAlgn val="ctr"/>
        <c:lblOffset val="100"/>
        <c:noMultiLvlLbl val="0"/>
      </c:catAx>
      <c:valAx>
        <c:axId val="90826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QTY</a:t>
                </a:r>
                <a:r>
                  <a:rPr lang="id-ID" baseline="0"/>
                  <a:t> Temuan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082685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Prinsip</a:t>
            </a:r>
            <a:r>
              <a:rPr lang="id-ID" baseline="0"/>
              <a:t> KAO</a:t>
            </a:r>
          </a:p>
          <a:p>
            <a:pPr>
              <a:defRPr/>
            </a:pPr>
            <a:r>
              <a:rPr lang="id-ID" baseline="0"/>
              <a:t>Level 3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54-4DCC-AFDB-4F8708A563CD}"/>
              </c:ext>
            </c:extLst>
          </c:dPt>
          <c:cat>
            <c:strRef>
              <c:f>'Resume Finding'!$D$70:$D$75</c:f>
              <c:strCache>
                <c:ptCount val="6"/>
                <c:pt idx="0">
                  <c:v>Point 3.1</c:v>
                </c:pt>
                <c:pt idx="1">
                  <c:v>Point 3.2.1</c:v>
                </c:pt>
                <c:pt idx="2">
                  <c:v>Point 3.2.2</c:v>
                </c:pt>
                <c:pt idx="3">
                  <c:v>Point 3.2.3</c:v>
                </c:pt>
                <c:pt idx="4">
                  <c:v>Point 3.3.1</c:v>
                </c:pt>
                <c:pt idx="5">
                  <c:v>Point 3.3.2</c:v>
                </c:pt>
              </c:strCache>
            </c:strRef>
          </c:cat>
          <c:val>
            <c:numRef>
              <c:f>'Resume Finding'!$E$70:$E$75</c:f>
              <c:numCache>
                <c:formatCode>General</c:formatCode>
                <c:ptCount val="6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4-4DCC-AFDB-4F8708A56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57933896"/>
        <c:axId val="957938488"/>
      </c:barChart>
      <c:catAx>
        <c:axId val="95793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57938488"/>
        <c:crosses val="autoZero"/>
        <c:auto val="1"/>
        <c:lblAlgn val="ctr"/>
        <c:lblOffset val="100"/>
        <c:noMultiLvlLbl val="0"/>
      </c:catAx>
      <c:valAx>
        <c:axId val="957938488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QTY</a:t>
                </a:r>
                <a:r>
                  <a:rPr lang="id-ID" baseline="0"/>
                  <a:t> Temuan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57933896"/>
        <c:crosses val="autoZero"/>
        <c:crossBetween val="between"/>
        <c:majorUnit val="1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Temuan</a:t>
            </a:r>
            <a:r>
              <a:rPr lang="id-ID"/>
              <a:t> KAO</a:t>
            </a:r>
            <a:r>
              <a:rPr lang="id-ID" baseline="0"/>
              <a:t> by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 Finding'!$AW$7</c:f>
              <c:strCache>
                <c:ptCount val="1"/>
                <c:pt idx="0">
                  <c:v>Total Temuan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'Resume Finding'!$AV$8:$AV$10</c:f>
              <c:strCache>
                <c:ptCount val="3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</c:strCache>
            </c:strRef>
          </c:cat>
          <c:val>
            <c:numRef>
              <c:f>'Resume Finding'!$AW$8:$AW$10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4-41D2-AC8A-A11FBFB90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44480848"/>
        <c:axId val="944481176"/>
      </c:barChart>
      <c:catAx>
        <c:axId val="94448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44481176"/>
        <c:crosses val="autoZero"/>
        <c:auto val="1"/>
        <c:lblAlgn val="ctr"/>
        <c:lblOffset val="100"/>
        <c:noMultiLvlLbl val="0"/>
      </c:catAx>
      <c:valAx>
        <c:axId val="944481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9444808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chart" Target="../charts/chart23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10" Type="http://schemas.openxmlformats.org/officeDocument/2006/relationships/chart" Target="../charts/chart13.xml"/><Relationship Id="rId19" Type="http://schemas.openxmlformats.org/officeDocument/2006/relationships/chart" Target="../charts/chart22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20</xdr:row>
      <xdr:rowOff>85724</xdr:rowOff>
    </xdr:from>
    <xdr:to>
      <xdr:col>8</xdr:col>
      <xdr:colOff>114300</xdr:colOff>
      <xdr:row>31</xdr:row>
      <xdr:rowOff>157161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219076</xdr:colOff>
      <xdr:row>20</xdr:row>
      <xdr:rowOff>95250</xdr:rowOff>
    </xdr:from>
    <xdr:to>
      <xdr:col>19</xdr:col>
      <xdr:colOff>95251</xdr:colOff>
      <xdr:row>31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257175</xdr:colOff>
      <xdr:row>20</xdr:row>
      <xdr:rowOff>95250</xdr:rowOff>
    </xdr:from>
    <xdr:to>
      <xdr:col>29</xdr:col>
      <xdr:colOff>133350</xdr:colOff>
      <xdr:row>31</xdr:row>
      <xdr:rowOff>166687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123825</xdr:colOff>
      <xdr:row>3</xdr:row>
      <xdr:rowOff>52387</xdr:rowOff>
    </xdr:from>
    <xdr:to>
      <xdr:col>13</xdr:col>
      <xdr:colOff>370417</xdr:colOff>
      <xdr:row>12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114299</xdr:colOff>
      <xdr:row>13</xdr:row>
      <xdr:rowOff>47624</xdr:rowOff>
    </xdr:from>
    <xdr:to>
      <xdr:col>14</xdr:col>
      <xdr:colOff>533400</xdr:colOff>
      <xdr:row>24</xdr:row>
      <xdr:rowOff>61911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137259</xdr:colOff>
      <xdr:row>10</xdr:row>
      <xdr:rowOff>18887</xdr:rowOff>
    </xdr:from>
    <xdr:to>
      <xdr:col>20</xdr:col>
      <xdr:colOff>190175</xdr:colOff>
      <xdr:row>20</xdr:row>
      <xdr:rowOff>51693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709084</xdr:colOff>
      <xdr:row>76</xdr:row>
      <xdr:rowOff>63499</xdr:rowOff>
    </xdr:from>
    <xdr:to>
      <xdr:col>6</xdr:col>
      <xdr:colOff>836083</xdr:colOff>
      <xdr:row>87</xdr:row>
      <xdr:rowOff>1057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35455</xdr:colOff>
      <xdr:row>60</xdr:row>
      <xdr:rowOff>57280</xdr:rowOff>
    </xdr:from>
    <xdr:to>
      <xdr:col>15</xdr:col>
      <xdr:colOff>466200</xdr:colOff>
      <xdr:row>75</xdr:row>
      <xdr:rowOff>176001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6F70B0-9740-4250-85C6-2A26F229E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298506</xdr:colOff>
      <xdr:row>77</xdr:row>
      <xdr:rowOff>25991</xdr:rowOff>
    </xdr:from>
    <xdr:to>
      <xdr:col>23</xdr:col>
      <xdr:colOff>91487</xdr:colOff>
      <xdr:row>92</xdr:row>
      <xdr:rowOff>119204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275F69-A1AC-493A-831C-B9B59AACF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48516</xdr:colOff>
      <xdr:row>77</xdr:row>
      <xdr:rowOff>42853</xdr:rowOff>
    </xdr:from>
    <xdr:to>
      <xdr:col>15</xdr:col>
      <xdr:colOff>474176</xdr:colOff>
      <xdr:row>92</xdr:row>
      <xdr:rowOff>177950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F6A444-3976-4A07-ABF0-87392D41B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279754</xdr:colOff>
      <xdr:row>60</xdr:row>
      <xdr:rowOff>56791</xdr:rowOff>
    </xdr:from>
    <xdr:to>
      <xdr:col>23</xdr:col>
      <xdr:colOff>70758</xdr:colOff>
      <xdr:row>75</xdr:row>
      <xdr:rowOff>178208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7FBAE9F-5A7D-424A-8454-30028442B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11396</xdr:colOff>
      <xdr:row>10</xdr:row>
      <xdr:rowOff>34731</xdr:rowOff>
    </xdr:from>
    <xdr:to>
      <xdr:col>34</xdr:col>
      <xdr:colOff>211264</xdr:colOff>
      <xdr:row>25</xdr:row>
      <xdr:rowOff>87982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2F56E4-685E-4804-B82B-050039381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145637</xdr:colOff>
      <xdr:row>28</xdr:row>
      <xdr:rowOff>9731</xdr:rowOff>
    </xdr:from>
    <xdr:to>
      <xdr:col>34</xdr:col>
      <xdr:colOff>339601</xdr:colOff>
      <xdr:row>43</xdr:row>
      <xdr:rowOff>163451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D0C3CF2-8EB5-437C-9DB5-E21E35C54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35</xdr:col>
      <xdr:colOff>175862</xdr:colOff>
      <xdr:row>10</xdr:row>
      <xdr:rowOff>72407</xdr:rowOff>
    </xdr:from>
    <xdr:to>
      <xdr:col>42</xdr:col>
      <xdr:colOff>383680</xdr:colOff>
      <xdr:row>25</xdr:row>
      <xdr:rowOff>59543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CD2C713-6633-4913-A765-397817613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35</xdr:col>
      <xdr:colOff>193537</xdr:colOff>
      <xdr:row>27</xdr:row>
      <xdr:rowOff>168639</xdr:rowOff>
    </xdr:from>
    <xdr:to>
      <xdr:col>42</xdr:col>
      <xdr:colOff>386881</xdr:colOff>
      <xdr:row>44</xdr:row>
      <xdr:rowOff>7662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8CF8CBD-A238-4331-BCF5-5F5B90291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26</xdr:col>
      <xdr:colOff>542499</xdr:colOff>
      <xdr:row>56</xdr:row>
      <xdr:rowOff>45369</xdr:rowOff>
    </xdr:from>
    <xdr:to>
      <xdr:col>34</xdr:col>
      <xdr:colOff>104088</xdr:colOff>
      <xdr:row>71</xdr:row>
      <xdr:rowOff>121055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A2C5105-5448-4345-810C-6F3ADB7F7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49694</xdr:colOff>
      <xdr:row>76</xdr:row>
      <xdr:rowOff>77274</xdr:rowOff>
    </xdr:from>
    <xdr:to>
      <xdr:col>34</xdr:col>
      <xdr:colOff>233761</xdr:colOff>
      <xdr:row>91</xdr:row>
      <xdr:rowOff>152960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76CC357-42CC-4A2B-B875-65C78D7BD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35</xdr:col>
      <xdr:colOff>279708</xdr:colOff>
      <xdr:row>55</xdr:row>
      <xdr:rowOff>83330</xdr:rowOff>
    </xdr:from>
    <xdr:to>
      <xdr:col>42</xdr:col>
      <xdr:colOff>496774</xdr:colOff>
      <xdr:row>70</xdr:row>
      <xdr:rowOff>164749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65D1D89-A8FD-4F2E-B5BB-2F22B7A68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35</xdr:col>
      <xdr:colOff>461494</xdr:colOff>
      <xdr:row>76</xdr:row>
      <xdr:rowOff>34344</xdr:rowOff>
    </xdr:from>
    <xdr:to>
      <xdr:col>43</xdr:col>
      <xdr:colOff>53663</xdr:colOff>
      <xdr:row>92</xdr:row>
      <xdr:rowOff>30051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96B0DE2-CFC1-4DF5-8411-AE287C43C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46</xdr:col>
      <xdr:colOff>158274</xdr:colOff>
      <xdr:row>12</xdr:row>
      <xdr:rowOff>100913</xdr:rowOff>
    </xdr:from>
    <xdr:to>
      <xdr:col>53</xdr:col>
      <xdr:colOff>337142</xdr:colOff>
      <xdr:row>27</xdr:row>
      <xdr:rowOff>156136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99E098B-6BA8-49EC-A485-F058F96AE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46</xdr:col>
      <xdr:colOff>263087</xdr:colOff>
      <xdr:row>30</xdr:row>
      <xdr:rowOff>161543</xdr:rowOff>
    </xdr:from>
    <xdr:to>
      <xdr:col>53</xdr:col>
      <xdr:colOff>438149</xdr:colOff>
      <xdr:row>46</xdr:row>
      <xdr:rowOff>161543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2120D85-54AF-4DCA-8BF5-353B7D882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55</xdr:col>
      <xdr:colOff>110164</xdr:colOff>
      <xdr:row>12</xdr:row>
      <xdr:rowOff>44556</xdr:rowOff>
    </xdr:from>
    <xdr:to>
      <xdr:col>62</xdr:col>
      <xdr:colOff>319903</xdr:colOff>
      <xdr:row>27</xdr:row>
      <xdr:rowOff>83076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6A4C602-BAD6-4CF1-B876-8B623390E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55</xdr:col>
      <xdr:colOff>153538</xdr:colOff>
      <xdr:row>30</xdr:row>
      <xdr:rowOff>123967</xdr:rowOff>
    </xdr:from>
    <xdr:to>
      <xdr:col>62</xdr:col>
      <xdr:colOff>346881</xdr:colOff>
      <xdr:row>46</xdr:row>
      <xdr:rowOff>137615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7D230D6-D9C5-4487-AD10-1798B9616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26</xdr:col>
      <xdr:colOff>285750</xdr:colOff>
      <xdr:row>48</xdr:row>
      <xdr:rowOff>142875</xdr:rowOff>
    </xdr:from>
    <xdr:to>
      <xdr:col>43</xdr:col>
      <xdr:colOff>285750</xdr:colOff>
      <xdr:row>94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FA4BECE-D05E-89AE-C38E-478CF17EFCAF}"/>
            </a:ext>
          </a:extLst>
        </xdr:cNvPr>
        <xdr:cNvSpPr/>
      </xdr:nvSpPr>
      <xdr:spPr>
        <a:xfrm>
          <a:off x="18986500" y="8588375"/>
          <a:ext cx="10525125" cy="7889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 kern="1200"/>
        </a:p>
      </xdr:txBody>
    </xdr:sp>
    <xdr:clientData/>
  </xdr:twoCellAnchor>
  <xdr:twoCellAnchor>
    <xdr:from>
      <xdr:col>46</xdr:col>
      <xdr:colOff>15875</xdr:colOff>
      <xdr:row>4</xdr:row>
      <xdr:rowOff>142875</xdr:rowOff>
    </xdr:from>
    <xdr:to>
      <xdr:col>63</xdr:col>
      <xdr:colOff>15875</xdr:colOff>
      <xdr:row>49</xdr:row>
      <xdr:rowOff>127000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1658E2E-70A7-6490-8F76-62AE6BE26A95}"/>
            </a:ext>
          </a:extLst>
        </xdr:cNvPr>
        <xdr:cNvSpPr/>
      </xdr:nvSpPr>
      <xdr:spPr>
        <a:xfrm>
          <a:off x="31099125" y="857250"/>
          <a:ext cx="10525125" cy="7889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 kern="1200"/>
        </a:p>
      </xdr:txBody>
    </xdr:sp>
    <xdr:clientData/>
  </xdr:twoCellAnchor>
  <xdr:twoCellAnchor>
    <xdr:from>
      <xdr:col>26</xdr:col>
      <xdr:colOff>444500</xdr:colOff>
      <xdr:row>2</xdr:row>
      <xdr:rowOff>15875</xdr:rowOff>
    </xdr:from>
    <xdr:to>
      <xdr:col>43</xdr:col>
      <xdr:colOff>444500</xdr:colOff>
      <xdr:row>46</xdr:row>
      <xdr:rowOff>142875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4B61616-6FBC-69ED-01D5-F18E520F7D6A}"/>
            </a:ext>
          </a:extLst>
        </xdr:cNvPr>
        <xdr:cNvSpPr/>
      </xdr:nvSpPr>
      <xdr:spPr>
        <a:xfrm>
          <a:off x="19145250" y="349250"/>
          <a:ext cx="10525125" cy="78898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 kern="1200"/>
        </a:p>
      </xdr:txBody>
    </xdr:sp>
    <xdr:clientData/>
  </xdr:twoCellAnchor>
  <xdr:twoCellAnchor>
    <xdr:from>
      <xdr:col>7</xdr:col>
      <xdr:colOff>294033</xdr:colOff>
      <xdr:row>51</xdr:row>
      <xdr:rowOff>49695</xdr:rowOff>
    </xdr:from>
    <xdr:to>
      <xdr:col>23</xdr:col>
      <xdr:colOff>516283</xdr:colOff>
      <xdr:row>94</xdr:row>
      <xdr:rowOff>99391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A5DE046-60D0-898B-7E88-EA769017FAA5}"/>
            </a:ext>
          </a:extLst>
        </xdr:cNvPr>
        <xdr:cNvSpPr/>
      </xdr:nvSpPr>
      <xdr:spPr>
        <a:xfrm>
          <a:off x="6820729" y="9392478"/>
          <a:ext cx="10691467" cy="788504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VU05017/My%20Documents/@Data/Production%20Report%20Monthly/daily%20prod%20report/draft%20prod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ata (2)"/>
      <sheetName val="Apr"/>
    </sheetNames>
    <sheetDataSet>
      <sheetData sheetId="0"/>
      <sheetData sheetId="1">
        <row r="6">
          <cell r="AI6">
            <v>39814</v>
          </cell>
          <cell r="AJ6" t="str">
            <v>Tahun Baru</v>
          </cell>
        </row>
        <row r="7">
          <cell r="AI7">
            <v>39839</v>
          </cell>
          <cell r="AJ7" t="str">
            <v>Imlek</v>
          </cell>
        </row>
        <row r="8">
          <cell r="AI8">
            <v>39839</v>
          </cell>
          <cell r="AJ8" t="str">
            <v>Th Baru 2559 Imlek</v>
          </cell>
        </row>
        <row r="9">
          <cell r="AI9">
            <v>39881</v>
          </cell>
          <cell r="AJ9" t="str">
            <v>Maulid Nabi M</v>
          </cell>
        </row>
        <row r="10">
          <cell r="AI10">
            <v>39898</v>
          </cell>
          <cell r="AJ10" t="str">
            <v>Hari Nyepi</v>
          </cell>
        </row>
        <row r="11">
          <cell r="AI11">
            <v>39899</v>
          </cell>
          <cell r="AJ11" t="str">
            <v>Cuti bersama</v>
          </cell>
        </row>
        <row r="12">
          <cell r="AI12">
            <v>39912</v>
          </cell>
          <cell r="AJ12" t="str">
            <v>Pemilu legislatif</v>
          </cell>
        </row>
        <row r="13">
          <cell r="AI13">
            <v>39913</v>
          </cell>
          <cell r="AJ13" t="str">
            <v>Wafat Isa AlMasih</v>
          </cell>
        </row>
        <row r="14">
          <cell r="AI14">
            <v>39942</v>
          </cell>
          <cell r="AJ14" t="str">
            <v>Hari Waisak</v>
          </cell>
        </row>
        <row r="15">
          <cell r="AI15">
            <v>39954</v>
          </cell>
          <cell r="AJ15" t="str">
            <v>Kenaikan Isa AlMasih</v>
          </cell>
        </row>
        <row r="16">
          <cell r="AI16">
            <v>39955</v>
          </cell>
          <cell r="AJ16" t="str">
            <v>Cuti bersama</v>
          </cell>
        </row>
        <row r="17">
          <cell r="AI17">
            <v>40015</v>
          </cell>
          <cell r="AJ17" t="str">
            <v>Isra' Mi'raj</v>
          </cell>
        </row>
        <row r="18">
          <cell r="AI18">
            <v>40042</v>
          </cell>
          <cell r="AJ18" t="str">
            <v>HUT Kemerdekaan RI</v>
          </cell>
        </row>
        <row r="19">
          <cell r="AI19">
            <v>40077</v>
          </cell>
          <cell r="AJ19" t="str">
            <v>Idul Fitri</v>
          </cell>
        </row>
        <row r="20">
          <cell r="AI20">
            <v>40078</v>
          </cell>
          <cell r="AJ20" t="str">
            <v>Idul Fitri</v>
          </cell>
        </row>
        <row r="21">
          <cell r="AI21">
            <v>40079</v>
          </cell>
          <cell r="AJ21" t="str">
            <v>Cuti bersama</v>
          </cell>
        </row>
        <row r="22">
          <cell r="AI22">
            <v>40080</v>
          </cell>
          <cell r="AJ22" t="str">
            <v>Cuti bersama</v>
          </cell>
        </row>
        <row r="23">
          <cell r="AI23">
            <v>40081</v>
          </cell>
          <cell r="AJ23" t="str">
            <v>Cuti bersama</v>
          </cell>
        </row>
        <row r="24">
          <cell r="AI24">
            <v>40144</v>
          </cell>
          <cell r="AJ24" t="str">
            <v>Idul Adha</v>
          </cell>
        </row>
        <row r="25">
          <cell r="AI25">
            <v>40165</v>
          </cell>
          <cell r="AJ25" t="str">
            <v>Th Baru 1431 Hijri</v>
          </cell>
        </row>
        <row r="26">
          <cell r="AI26">
            <v>40172</v>
          </cell>
          <cell r="AJ26" t="str">
            <v>Natal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V20"/>
  <sheetViews>
    <sheetView showGridLines="0" tabSelected="1" topLeftCell="A2" zoomScale="118" zoomScaleNormal="132" workbookViewId="0">
      <selection activeCell="H11" sqref="H11"/>
    </sheetView>
  </sheetViews>
  <sheetFormatPr defaultColWidth="9.109375" defaultRowHeight="14.4" x14ac:dyDescent="0.3"/>
  <cols>
    <col min="1" max="1" width="3.33203125" style="17" customWidth="1"/>
    <col min="2" max="3" width="14.5546875" style="17" customWidth="1"/>
    <col min="4" max="4" width="7.5546875" style="17" customWidth="1"/>
    <col min="5" max="24" width="5.5546875" style="17" customWidth="1"/>
    <col min="25" max="55" width="4.6640625" style="17" customWidth="1"/>
    <col min="56" max="16384" width="9.109375" style="17"/>
  </cols>
  <sheetData>
    <row r="1" spans="2:48" ht="7.5" customHeight="1" x14ac:dyDescent="0.3"/>
    <row r="2" spans="2:48" ht="14.4" customHeight="1" x14ac:dyDescent="0.3">
      <c r="B2" s="51" t="s">
        <v>134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31"/>
      <c r="V2" s="31"/>
      <c r="W2" s="31"/>
      <c r="X2" s="31"/>
    </row>
    <row r="3" spans="2:48" ht="14.4" customHeight="1" x14ac:dyDescent="0.3"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32"/>
      <c r="V3" s="32"/>
      <c r="W3" s="32"/>
      <c r="X3" s="32"/>
    </row>
    <row r="4" spans="2:48" ht="15" customHeight="1" x14ac:dyDescent="0.3">
      <c r="B4" s="38" t="s">
        <v>60</v>
      </c>
      <c r="C4" s="48" t="s">
        <v>61</v>
      </c>
      <c r="D4" s="20" t="s">
        <v>57</v>
      </c>
      <c r="E4" s="38" t="s">
        <v>59</v>
      </c>
      <c r="F4" s="38"/>
      <c r="G4" s="38"/>
      <c r="H4" s="38"/>
      <c r="I4" s="38" t="s">
        <v>98</v>
      </c>
      <c r="J4" s="38"/>
      <c r="K4" s="38"/>
      <c r="L4" s="38"/>
      <c r="M4" s="50">
        <v>46113</v>
      </c>
      <c r="N4" s="38"/>
      <c r="O4" s="38"/>
      <c r="P4" s="38"/>
      <c r="Q4" s="38" t="s">
        <v>99</v>
      </c>
      <c r="R4" s="38"/>
      <c r="S4" s="38"/>
      <c r="T4" s="38"/>
      <c r="U4" s="38" t="s">
        <v>100</v>
      </c>
      <c r="V4" s="38"/>
      <c r="W4" s="38"/>
      <c r="X4" s="38"/>
      <c r="Y4" s="38" t="s">
        <v>101</v>
      </c>
      <c r="Z4" s="38"/>
      <c r="AA4" s="38"/>
      <c r="AB4" s="38"/>
      <c r="AC4" s="38" t="s">
        <v>102</v>
      </c>
      <c r="AD4" s="38"/>
      <c r="AE4" s="38"/>
      <c r="AF4" s="38"/>
      <c r="AG4" s="38" t="s">
        <v>103</v>
      </c>
      <c r="AH4" s="38"/>
      <c r="AI4" s="38"/>
      <c r="AJ4" s="38"/>
      <c r="AK4" s="38" t="s">
        <v>116</v>
      </c>
      <c r="AL4" s="38"/>
      <c r="AM4" s="38"/>
      <c r="AN4" s="38"/>
      <c r="AO4" s="50">
        <v>46327</v>
      </c>
      <c r="AP4" s="38"/>
      <c r="AQ4" s="38"/>
      <c r="AR4" s="38"/>
      <c r="AS4" s="38" t="s">
        <v>117</v>
      </c>
      <c r="AT4" s="38"/>
      <c r="AU4" s="38"/>
      <c r="AV4" s="38"/>
    </row>
    <row r="5" spans="2:48" x14ac:dyDescent="0.3">
      <c r="B5" s="38"/>
      <c r="C5" s="49"/>
      <c r="D5" s="20" t="s">
        <v>58</v>
      </c>
      <c r="E5" s="20" t="s">
        <v>62</v>
      </c>
      <c r="F5" s="20" t="s">
        <v>63</v>
      </c>
      <c r="G5" s="20" t="s">
        <v>64</v>
      </c>
      <c r="H5" s="20" t="s">
        <v>65</v>
      </c>
      <c r="I5" s="20" t="s">
        <v>66</v>
      </c>
      <c r="J5" s="20" t="s">
        <v>71</v>
      </c>
      <c r="K5" s="20" t="s">
        <v>72</v>
      </c>
      <c r="L5" s="20" t="s">
        <v>73</v>
      </c>
      <c r="M5" s="20" t="s">
        <v>74</v>
      </c>
      <c r="N5" s="20" t="s">
        <v>75</v>
      </c>
      <c r="O5" s="20" t="s">
        <v>76</v>
      </c>
      <c r="P5" s="20" t="s">
        <v>77</v>
      </c>
      <c r="Q5" s="20" t="s">
        <v>78</v>
      </c>
      <c r="R5" s="20" t="s">
        <v>79</v>
      </c>
      <c r="S5" s="20" t="s">
        <v>80</v>
      </c>
      <c r="T5" s="20" t="s">
        <v>81</v>
      </c>
      <c r="U5" s="20" t="s">
        <v>82</v>
      </c>
      <c r="V5" s="20" t="s">
        <v>83</v>
      </c>
      <c r="W5" s="20" t="s">
        <v>84</v>
      </c>
      <c r="X5" s="20" t="s">
        <v>85</v>
      </c>
      <c r="Y5" s="20" t="s">
        <v>86</v>
      </c>
      <c r="Z5" s="20" t="s">
        <v>87</v>
      </c>
      <c r="AA5" s="20" t="s">
        <v>88</v>
      </c>
      <c r="AB5" s="20" t="s">
        <v>89</v>
      </c>
      <c r="AC5" s="20" t="s">
        <v>90</v>
      </c>
      <c r="AD5" s="20" t="s">
        <v>91</v>
      </c>
      <c r="AE5" s="20" t="s">
        <v>92</v>
      </c>
      <c r="AF5" s="20" t="s">
        <v>93</v>
      </c>
      <c r="AG5" s="20" t="s">
        <v>94</v>
      </c>
      <c r="AH5" s="20" t="s">
        <v>95</v>
      </c>
      <c r="AI5" s="20" t="s">
        <v>96</v>
      </c>
      <c r="AJ5" s="20" t="s">
        <v>97</v>
      </c>
      <c r="AK5" s="20" t="s">
        <v>104</v>
      </c>
      <c r="AL5" s="20" t="s">
        <v>105</v>
      </c>
      <c r="AM5" s="20" t="s">
        <v>106</v>
      </c>
      <c r="AN5" s="20" t="s">
        <v>107</v>
      </c>
      <c r="AO5" s="20" t="s">
        <v>108</v>
      </c>
      <c r="AP5" s="20" t="s">
        <v>109</v>
      </c>
      <c r="AQ5" s="20" t="s">
        <v>110</v>
      </c>
      <c r="AR5" s="20" t="s">
        <v>111</v>
      </c>
      <c r="AS5" s="20" t="s">
        <v>112</v>
      </c>
      <c r="AT5" s="20" t="s">
        <v>113</v>
      </c>
      <c r="AU5" s="20" t="s">
        <v>114</v>
      </c>
      <c r="AV5" s="20" t="s">
        <v>115</v>
      </c>
    </row>
    <row r="6" spans="2:48" ht="15" customHeight="1" x14ac:dyDescent="0.3">
      <c r="B6" s="45" t="s">
        <v>67</v>
      </c>
      <c r="C6" s="42" t="s">
        <v>121</v>
      </c>
      <c r="D6" s="18" t="s">
        <v>57</v>
      </c>
      <c r="E6" s="18">
        <v>1</v>
      </c>
      <c r="F6" s="18">
        <v>1</v>
      </c>
      <c r="G6" s="18">
        <v>1</v>
      </c>
      <c r="H6" s="18">
        <v>1</v>
      </c>
      <c r="I6" s="18">
        <v>1</v>
      </c>
      <c r="J6" s="18">
        <v>1</v>
      </c>
      <c r="K6" s="21">
        <v>0</v>
      </c>
      <c r="L6" s="18">
        <v>1</v>
      </c>
      <c r="M6" s="18">
        <v>1</v>
      </c>
      <c r="N6" s="18">
        <v>1</v>
      </c>
      <c r="O6" s="18">
        <v>1</v>
      </c>
      <c r="P6" s="18">
        <v>1</v>
      </c>
      <c r="Q6" s="18">
        <v>1</v>
      </c>
      <c r="R6" s="18">
        <v>1</v>
      </c>
      <c r="S6" s="18">
        <v>1</v>
      </c>
      <c r="T6" s="18">
        <v>1</v>
      </c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</row>
    <row r="7" spans="2:48" x14ac:dyDescent="0.3">
      <c r="B7" s="46"/>
      <c r="C7" s="43"/>
      <c r="D7" s="18" t="s">
        <v>58</v>
      </c>
      <c r="E7" s="18">
        <v>1</v>
      </c>
      <c r="F7" s="18">
        <v>1</v>
      </c>
      <c r="G7" s="18">
        <v>1</v>
      </c>
      <c r="H7" s="18">
        <v>1</v>
      </c>
      <c r="I7" s="18">
        <v>1</v>
      </c>
      <c r="J7" s="18">
        <v>1</v>
      </c>
      <c r="K7" s="18">
        <v>0</v>
      </c>
      <c r="L7" s="18">
        <v>1</v>
      </c>
      <c r="M7" s="18">
        <v>1</v>
      </c>
      <c r="N7" s="18">
        <v>1</v>
      </c>
      <c r="O7" s="18">
        <v>1</v>
      </c>
      <c r="P7" s="18">
        <v>1</v>
      </c>
      <c r="Q7" s="21">
        <v>1</v>
      </c>
      <c r="R7" s="18">
        <v>1</v>
      </c>
      <c r="S7" s="18">
        <v>1</v>
      </c>
      <c r="T7" s="18">
        <v>1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</row>
    <row r="8" spans="2:48" x14ac:dyDescent="0.3">
      <c r="B8" s="46"/>
      <c r="C8" s="43"/>
      <c r="D8" s="19" t="s">
        <v>70</v>
      </c>
      <c r="E8" s="19">
        <f>E6-E7</f>
        <v>0</v>
      </c>
      <c r="F8" s="19">
        <f t="shared" ref="F8:H8" si="0">F6-F7</f>
        <v>0</v>
      </c>
      <c r="G8" s="19">
        <f t="shared" si="0"/>
        <v>0</v>
      </c>
      <c r="H8" s="19">
        <f t="shared" si="0"/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</row>
    <row r="9" spans="2:48" x14ac:dyDescent="0.3">
      <c r="B9" s="47"/>
      <c r="C9" s="44"/>
      <c r="D9" s="19" t="s">
        <v>128</v>
      </c>
      <c r="E9" s="30" t="s">
        <v>132</v>
      </c>
      <c r="F9" s="30" t="s">
        <v>131</v>
      </c>
      <c r="G9" s="29" t="s">
        <v>133</v>
      </c>
      <c r="H9" s="19" t="s">
        <v>132</v>
      </c>
      <c r="I9" s="19" t="s">
        <v>131</v>
      </c>
      <c r="J9" s="19" t="s">
        <v>133</v>
      </c>
      <c r="K9" s="19" t="s">
        <v>132</v>
      </c>
      <c r="L9" s="19" t="s">
        <v>131</v>
      </c>
      <c r="M9" s="19" t="s">
        <v>133</v>
      </c>
      <c r="N9" s="19" t="s">
        <v>132</v>
      </c>
      <c r="O9" s="19" t="s">
        <v>131</v>
      </c>
      <c r="P9" s="19" t="s">
        <v>133</v>
      </c>
      <c r="Q9" s="19" t="s">
        <v>132</v>
      </c>
      <c r="R9" s="19" t="s">
        <v>131</v>
      </c>
      <c r="S9" s="19" t="s">
        <v>133</v>
      </c>
      <c r="T9" s="19" t="s">
        <v>132</v>
      </c>
      <c r="U9" s="22"/>
      <c r="V9" s="29"/>
      <c r="W9" s="29"/>
      <c r="X9" s="29"/>
      <c r="Y9" s="22"/>
      <c r="Z9" s="29"/>
      <c r="AA9" s="29"/>
      <c r="AB9" s="29"/>
      <c r="AC9" s="22"/>
      <c r="AD9" s="29"/>
      <c r="AE9" s="29"/>
      <c r="AF9" s="29"/>
      <c r="AG9" s="22"/>
      <c r="AH9" s="29"/>
      <c r="AI9" s="29"/>
      <c r="AJ9" s="29"/>
      <c r="AK9" s="22"/>
      <c r="AL9" s="29"/>
      <c r="AM9" s="29"/>
      <c r="AN9" s="29"/>
      <c r="AO9" s="22"/>
      <c r="AP9" s="29"/>
      <c r="AQ9" s="29"/>
      <c r="AR9" s="29"/>
      <c r="AS9" s="19"/>
      <c r="AT9" s="19"/>
      <c r="AU9" s="19"/>
      <c r="AV9" s="19"/>
    </row>
    <row r="10" spans="2:48" x14ac:dyDescent="0.3">
      <c r="B10" s="39" t="s">
        <v>118</v>
      </c>
      <c r="C10" s="40"/>
      <c r="D10" s="41"/>
      <c r="E10" s="34">
        <f>SUM(E7:H7)</f>
        <v>4</v>
      </c>
      <c r="F10" s="35"/>
      <c r="G10" s="35"/>
      <c r="H10" s="35"/>
      <c r="I10" s="34">
        <f>SUM(I7:L7)</f>
        <v>3</v>
      </c>
      <c r="J10" s="35"/>
      <c r="K10" s="35"/>
      <c r="L10" s="35"/>
      <c r="M10" s="34">
        <f>SUM(M7:P7)</f>
        <v>4</v>
      </c>
      <c r="N10" s="35"/>
      <c r="O10" s="35"/>
      <c r="P10" s="35"/>
      <c r="Q10" s="34">
        <f>SUM(Q7:T7)</f>
        <v>4</v>
      </c>
      <c r="R10" s="35"/>
      <c r="S10" s="35"/>
      <c r="T10" s="35"/>
      <c r="U10" s="34"/>
      <c r="V10" s="35"/>
      <c r="W10" s="35"/>
      <c r="X10" s="35"/>
      <c r="Y10" s="34"/>
      <c r="Z10" s="35"/>
      <c r="AA10" s="35"/>
      <c r="AB10" s="35"/>
      <c r="AC10" s="34"/>
      <c r="AD10" s="35"/>
      <c r="AE10" s="35"/>
      <c r="AF10" s="35"/>
      <c r="AG10" s="34"/>
      <c r="AH10" s="35"/>
      <c r="AI10" s="35"/>
      <c r="AJ10" s="35"/>
      <c r="AK10" s="34"/>
      <c r="AL10" s="35"/>
      <c r="AM10" s="35"/>
      <c r="AN10" s="35"/>
      <c r="AO10" s="34"/>
      <c r="AP10" s="35"/>
      <c r="AQ10" s="35"/>
      <c r="AR10" s="35"/>
      <c r="AS10" s="33"/>
      <c r="AT10" s="33"/>
      <c r="AU10" s="33"/>
      <c r="AV10" s="33"/>
    </row>
    <row r="11" spans="2:48" ht="14.4" customHeight="1" x14ac:dyDescent="0.3">
      <c r="B11" s="53" t="s">
        <v>68</v>
      </c>
      <c r="C11" s="54" t="s">
        <v>122</v>
      </c>
      <c r="D11" s="18" t="s">
        <v>57</v>
      </c>
      <c r="E11" s="18">
        <v>1</v>
      </c>
      <c r="F11" s="18">
        <v>1</v>
      </c>
      <c r="G11" s="18">
        <v>1</v>
      </c>
      <c r="H11" s="18">
        <v>1</v>
      </c>
      <c r="I11" s="18">
        <v>1</v>
      </c>
      <c r="J11" s="18">
        <v>1</v>
      </c>
      <c r="K11" s="21">
        <v>0</v>
      </c>
      <c r="L11" s="18">
        <v>1</v>
      </c>
      <c r="M11" s="18">
        <v>1</v>
      </c>
      <c r="N11" s="18">
        <v>1</v>
      </c>
      <c r="O11" s="18">
        <v>1</v>
      </c>
      <c r="P11" s="18">
        <v>1</v>
      </c>
      <c r="Q11" s="18">
        <v>1</v>
      </c>
      <c r="R11" s="18">
        <v>1</v>
      </c>
      <c r="S11" s="18">
        <v>1</v>
      </c>
      <c r="T11" s="18">
        <v>1</v>
      </c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</row>
    <row r="12" spans="2:48" x14ac:dyDescent="0.3">
      <c r="B12" s="53"/>
      <c r="C12" s="55"/>
      <c r="D12" s="18" t="s">
        <v>58</v>
      </c>
      <c r="E12" s="18">
        <v>1</v>
      </c>
      <c r="F12" s="18">
        <v>1</v>
      </c>
      <c r="G12" s="18">
        <v>1</v>
      </c>
      <c r="H12" s="18">
        <v>1</v>
      </c>
      <c r="I12" s="18">
        <v>1</v>
      </c>
      <c r="J12" s="18">
        <v>1</v>
      </c>
      <c r="K12" s="18">
        <v>0</v>
      </c>
      <c r="L12" s="18">
        <v>1</v>
      </c>
      <c r="M12" s="18">
        <v>1</v>
      </c>
      <c r="N12" s="18">
        <v>1</v>
      </c>
      <c r="O12" s="18">
        <v>1</v>
      </c>
      <c r="P12" s="18">
        <v>1</v>
      </c>
      <c r="Q12" s="18">
        <v>1</v>
      </c>
      <c r="R12" s="18">
        <v>1</v>
      </c>
      <c r="S12" s="18">
        <v>1</v>
      </c>
      <c r="T12" s="18">
        <v>1</v>
      </c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</row>
    <row r="13" spans="2:48" x14ac:dyDescent="0.3">
      <c r="B13" s="53"/>
      <c r="C13" s="55"/>
      <c r="D13" s="19" t="s">
        <v>70</v>
      </c>
      <c r="E13" s="19">
        <f>E11-E12</f>
        <v>0</v>
      </c>
      <c r="F13" s="19">
        <f t="shared" ref="F13" si="1">F11-F12</f>
        <v>0</v>
      </c>
      <c r="G13" s="19">
        <f t="shared" ref="G13" si="2">G11-G12</f>
        <v>0</v>
      </c>
      <c r="H13" s="19">
        <f t="shared" ref="H13" si="3">H11-H12</f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</row>
    <row r="14" spans="2:48" x14ac:dyDescent="0.3">
      <c r="B14" s="53"/>
      <c r="C14" s="56"/>
      <c r="D14" s="19" t="s">
        <v>128</v>
      </c>
      <c r="E14" s="19" t="s">
        <v>139</v>
      </c>
      <c r="F14" s="22" t="s">
        <v>136</v>
      </c>
      <c r="G14" s="19" t="s">
        <v>137</v>
      </c>
      <c r="H14" s="19" t="s">
        <v>139</v>
      </c>
      <c r="I14" s="22" t="s">
        <v>136</v>
      </c>
      <c r="J14" s="19" t="s">
        <v>137</v>
      </c>
      <c r="K14" s="19" t="s">
        <v>139</v>
      </c>
      <c r="L14" s="22" t="s">
        <v>136</v>
      </c>
      <c r="M14" s="19" t="s">
        <v>137</v>
      </c>
      <c r="N14" s="19" t="s">
        <v>139</v>
      </c>
      <c r="O14" s="22" t="s">
        <v>136</v>
      </c>
      <c r="P14" s="19" t="s">
        <v>137</v>
      </c>
      <c r="Q14" s="19" t="s">
        <v>139</v>
      </c>
      <c r="R14" s="22" t="s">
        <v>136</v>
      </c>
      <c r="S14" s="19" t="s">
        <v>137</v>
      </c>
      <c r="T14" s="19" t="s">
        <v>139</v>
      </c>
      <c r="U14" s="22"/>
      <c r="V14" s="29"/>
      <c r="W14" s="29"/>
      <c r="X14" s="29"/>
      <c r="Y14" s="22"/>
      <c r="Z14" s="29"/>
      <c r="AA14" s="29"/>
      <c r="AB14" s="29"/>
      <c r="AC14" s="22"/>
      <c r="AD14" s="29"/>
      <c r="AE14" s="29"/>
      <c r="AF14" s="29"/>
      <c r="AG14" s="22"/>
      <c r="AH14" s="29"/>
      <c r="AI14" s="29"/>
      <c r="AJ14" s="29"/>
      <c r="AK14" s="22"/>
      <c r="AL14" s="29"/>
      <c r="AM14" s="29"/>
      <c r="AN14" s="29"/>
      <c r="AO14" s="22"/>
      <c r="AP14" s="29"/>
      <c r="AQ14" s="29"/>
      <c r="AR14" s="29"/>
      <c r="AS14" s="19"/>
      <c r="AT14" s="19"/>
      <c r="AU14" s="19"/>
      <c r="AV14" s="19"/>
    </row>
    <row r="15" spans="2:48" x14ac:dyDescent="0.3">
      <c r="B15" s="39" t="s">
        <v>118</v>
      </c>
      <c r="C15" s="40"/>
      <c r="D15" s="41"/>
      <c r="E15" s="34">
        <f>SUM(E12:H12)</f>
        <v>4</v>
      </c>
      <c r="F15" s="35"/>
      <c r="G15" s="35"/>
      <c r="H15" s="35"/>
      <c r="I15" s="34">
        <f>SUM(I12:L12)</f>
        <v>3</v>
      </c>
      <c r="J15" s="35"/>
      <c r="K15" s="35"/>
      <c r="L15" s="35"/>
      <c r="M15" s="34">
        <f>SUM(M12:P12)</f>
        <v>4</v>
      </c>
      <c r="N15" s="35"/>
      <c r="O15" s="35"/>
      <c r="P15" s="35"/>
      <c r="Q15" s="34">
        <f>SUM(Q12:T12)</f>
        <v>4</v>
      </c>
      <c r="R15" s="35"/>
      <c r="S15" s="35"/>
      <c r="T15" s="35"/>
      <c r="U15" s="34"/>
      <c r="V15" s="35"/>
      <c r="W15" s="35"/>
      <c r="X15" s="35"/>
      <c r="Y15" s="34"/>
      <c r="Z15" s="35"/>
      <c r="AA15" s="35"/>
      <c r="AB15" s="35"/>
      <c r="AC15" s="34"/>
      <c r="AD15" s="35"/>
      <c r="AE15" s="35"/>
      <c r="AF15" s="35"/>
      <c r="AG15" s="34"/>
      <c r="AH15" s="35"/>
      <c r="AI15" s="35"/>
      <c r="AJ15" s="35"/>
      <c r="AK15" s="34"/>
      <c r="AL15" s="35"/>
      <c r="AM15" s="35"/>
      <c r="AN15" s="35"/>
      <c r="AO15" s="34"/>
      <c r="AP15" s="35"/>
      <c r="AQ15" s="35"/>
      <c r="AR15" s="35"/>
      <c r="AS15" s="33"/>
      <c r="AT15" s="33"/>
      <c r="AU15" s="33"/>
      <c r="AV15" s="33"/>
    </row>
    <row r="16" spans="2:48" ht="14.4" customHeight="1" x14ac:dyDescent="0.3">
      <c r="B16" s="45" t="s">
        <v>69</v>
      </c>
      <c r="C16" s="57" t="s">
        <v>123</v>
      </c>
      <c r="D16" s="27" t="s">
        <v>57</v>
      </c>
      <c r="E16" s="18">
        <v>1</v>
      </c>
      <c r="F16" s="18">
        <v>1</v>
      </c>
      <c r="G16" s="18">
        <v>1</v>
      </c>
      <c r="H16" s="18">
        <v>1</v>
      </c>
      <c r="I16" s="18">
        <v>1</v>
      </c>
      <c r="J16" s="18">
        <v>1</v>
      </c>
      <c r="K16" s="21">
        <v>0</v>
      </c>
      <c r="L16" s="18">
        <v>1</v>
      </c>
      <c r="M16" s="18">
        <v>1</v>
      </c>
      <c r="N16" s="18">
        <v>1</v>
      </c>
      <c r="O16" s="18">
        <v>1</v>
      </c>
      <c r="P16" s="18">
        <v>1</v>
      </c>
      <c r="Q16" s="18">
        <v>1</v>
      </c>
      <c r="R16" s="18">
        <v>1</v>
      </c>
      <c r="S16" s="18">
        <v>1</v>
      </c>
      <c r="T16" s="18">
        <v>1</v>
      </c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</row>
    <row r="17" spans="2:48" x14ac:dyDescent="0.3">
      <c r="B17" s="46"/>
      <c r="C17" s="57"/>
      <c r="D17" s="27" t="s">
        <v>58</v>
      </c>
      <c r="E17" s="18">
        <v>1</v>
      </c>
      <c r="F17" s="18">
        <v>1</v>
      </c>
      <c r="G17" s="18">
        <v>1</v>
      </c>
      <c r="H17" s="18">
        <v>1</v>
      </c>
      <c r="I17" s="18">
        <v>1</v>
      </c>
      <c r="J17" s="18">
        <v>1</v>
      </c>
      <c r="K17" s="18">
        <v>0</v>
      </c>
      <c r="L17" s="18">
        <v>1</v>
      </c>
      <c r="M17" s="18">
        <v>1</v>
      </c>
      <c r="N17" s="18">
        <v>1</v>
      </c>
      <c r="O17" s="18">
        <v>1</v>
      </c>
      <c r="P17" s="18">
        <v>1</v>
      </c>
      <c r="Q17" s="18">
        <v>1</v>
      </c>
      <c r="R17" s="18">
        <v>1</v>
      </c>
      <c r="S17" s="18">
        <v>1</v>
      </c>
      <c r="T17" s="18">
        <v>1</v>
      </c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</row>
    <row r="18" spans="2:48" x14ac:dyDescent="0.3">
      <c r="B18" s="46"/>
      <c r="C18" s="57"/>
      <c r="D18" s="28" t="s">
        <v>70</v>
      </c>
      <c r="E18" s="19">
        <f>E16-E17</f>
        <v>0</v>
      </c>
      <c r="F18" s="19">
        <f t="shared" ref="F18" si="4">F16-F17</f>
        <v>0</v>
      </c>
      <c r="G18" s="19">
        <f t="shared" ref="G18" si="5">G16-G17</f>
        <v>0</v>
      </c>
      <c r="H18" s="19">
        <f t="shared" ref="H18" si="6">H16-H17</f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</row>
    <row r="19" spans="2:48" x14ac:dyDescent="0.3">
      <c r="B19" s="47"/>
      <c r="C19" s="57"/>
      <c r="D19" s="28" t="s">
        <v>128</v>
      </c>
      <c r="E19" s="19" t="s">
        <v>130</v>
      </c>
      <c r="F19" s="19" t="s">
        <v>129</v>
      </c>
      <c r="G19" s="19" t="s">
        <v>135</v>
      </c>
      <c r="H19" s="19" t="s">
        <v>130</v>
      </c>
      <c r="I19" s="19" t="s">
        <v>129</v>
      </c>
      <c r="J19" s="19" t="s">
        <v>135</v>
      </c>
      <c r="K19" s="19" t="s">
        <v>130</v>
      </c>
      <c r="L19" s="19" t="s">
        <v>129</v>
      </c>
      <c r="M19" s="19" t="s">
        <v>135</v>
      </c>
      <c r="N19" s="19" t="s">
        <v>130</v>
      </c>
      <c r="O19" s="19" t="s">
        <v>129</v>
      </c>
      <c r="P19" s="19" t="s">
        <v>135</v>
      </c>
      <c r="Q19" s="19" t="s">
        <v>130</v>
      </c>
      <c r="R19" s="19" t="s">
        <v>129</v>
      </c>
      <c r="S19" s="19" t="s">
        <v>135</v>
      </c>
      <c r="T19" s="19" t="s">
        <v>130</v>
      </c>
      <c r="U19" s="22"/>
      <c r="V19" s="29"/>
      <c r="W19" s="29"/>
      <c r="X19" s="29"/>
      <c r="Y19" s="22"/>
      <c r="Z19" s="29"/>
      <c r="AA19" s="29"/>
      <c r="AB19" s="29"/>
      <c r="AC19" s="22"/>
      <c r="AD19" s="29"/>
      <c r="AE19" s="29"/>
      <c r="AF19" s="29"/>
      <c r="AG19" s="22"/>
      <c r="AH19" s="29"/>
      <c r="AI19" s="29"/>
      <c r="AJ19" s="29"/>
      <c r="AK19" s="22"/>
      <c r="AL19" s="29"/>
      <c r="AM19" s="29"/>
      <c r="AN19" s="29"/>
      <c r="AO19" s="22"/>
      <c r="AP19" s="29"/>
      <c r="AQ19" s="29"/>
      <c r="AR19" s="29"/>
      <c r="AS19" s="19"/>
      <c r="AT19" s="19"/>
      <c r="AU19" s="19"/>
      <c r="AV19" s="19"/>
    </row>
    <row r="20" spans="2:48" x14ac:dyDescent="0.3">
      <c r="B20" s="39" t="s">
        <v>118</v>
      </c>
      <c r="C20" s="40"/>
      <c r="D20" s="41"/>
      <c r="E20" s="34">
        <f>SUM(E17:H17)</f>
        <v>4</v>
      </c>
      <c r="F20" s="35"/>
      <c r="G20" s="35"/>
      <c r="H20" s="35"/>
      <c r="I20" s="34">
        <f>SUM(I17:L17)</f>
        <v>3</v>
      </c>
      <c r="J20" s="35"/>
      <c r="K20" s="35"/>
      <c r="L20" s="35"/>
      <c r="M20" s="34">
        <f>SUM(M17:P17)</f>
        <v>4</v>
      </c>
      <c r="N20" s="35"/>
      <c r="O20" s="35"/>
      <c r="P20" s="35"/>
      <c r="Q20" s="36">
        <f>SUM(Q17:T17)</f>
        <v>4</v>
      </c>
      <c r="R20" s="37"/>
      <c r="S20" s="37"/>
      <c r="T20" s="37"/>
      <c r="U20" s="34"/>
      <c r="V20" s="35"/>
      <c r="W20" s="35"/>
      <c r="X20" s="35"/>
      <c r="Y20" s="34"/>
      <c r="Z20" s="35"/>
      <c r="AA20" s="35"/>
      <c r="AB20" s="35"/>
      <c r="AC20" s="34"/>
      <c r="AD20" s="35"/>
      <c r="AE20" s="35"/>
      <c r="AF20" s="35"/>
      <c r="AG20" s="34"/>
      <c r="AH20" s="35"/>
      <c r="AI20" s="35"/>
      <c r="AJ20" s="35"/>
      <c r="AK20" s="34"/>
      <c r="AL20" s="35"/>
      <c r="AM20" s="35"/>
      <c r="AN20" s="35"/>
      <c r="AO20" s="34"/>
      <c r="AP20" s="35"/>
      <c r="AQ20" s="35"/>
      <c r="AR20" s="35"/>
      <c r="AS20" s="33"/>
      <c r="AT20" s="33"/>
      <c r="AU20" s="33"/>
      <c r="AV20" s="33"/>
    </row>
  </sheetData>
  <mergeCells count="56">
    <mergeCell ref="B2:T3"/>
    <mergeCell ref="B11:B14"/>
    <mergeCell ref="C11:C14"/>
    <mergeCell ref="B16:B19"/>
    <mergeCell ref="C16:C19"/>
    <mergeCell ref="U20:X20"/>
    <mergeCell ref="AS4:AV4"/>
    <mergeCell ref="C4:C5"/>
    <mergeCell ref="AC4:AF4"/>
    <mergeCell ref="AG4:AJ4"/>
    <mergeCell ref="Y4:AB4"/>
    <mergeCell ref="I4:L4"/>
    <mergeCell ref="AK4:AN4"/>
    <mergeCell ref="AO4:AR4"/>
    <mergeCell ref="M4:P4"/>
    <mergeCell ref="Q4:T4"/>
    <mergeCell ref="U4:X4"/>
    <mergeCell ref="B20:D20"/>
    <mergeCell ref="M10:P10"/>
    <mergeCell ref="E20:H20"/>
    <mergeCell ref="I20:L20"/>
    <mergeCell ref="M20:P20"/>
    <mergeCell ref="Q20:T20"/>
    <mergeCell ref="B4:B5"/>
    <mergeCell ref="E4:H4"/>
    <mergeCell ref="B10:D10"/>
    <mergeCell ref="E10:H10"/>
    <mergeCell ref="B15:D15"/>
    <mergeCell ref="C6:C9"/>
    <mergeCell ref="B6:B9"/>
    <mergeCell ref="AS10:AV10"/>
    <mergeCell ref="AO15:AR15"/>
    <mergeCell ref="E15:H15"/>
    <mergeCell ref="I15:L15"/>
    <mergeCell ref="M15:P15"/>
    <mergeCell ref="Q15:T15"/>
    <mergeCell ref="U15:X15"/>
    <mergeCell ref="AS15:AV15"/>
    <mergeCell ref="Q10:T10"/>
    <mergeCell ref="U10:X10"/>
    <mergeCell ref="Y10:AB10"/>
    <mergeCell ref="AC10:AF10"/>
    <mergeCell ref="AG10:AJ10"/>
    <mergeCell ref="AK10:AN10"/>
    <mergeCell ref="AO10:AR10"/>
    <mergeCell ref="I10:L10"/>
    <mergeCell ref="AS20:AV20"/>
    <mergeCell ref="Y15:AB15"/>
    <mergeCell ref="AC15:AF15"/>
    <mergeCell ref="AG15:AJ15"/>
    <mergeCell ref="AK15:AN15"/>
    <mergeCell ref="Y20:AB20"/>
    <mergeCell ref="AC20:AF20"/>
    <mergeCell ref="AG20:AJ20"/>
    <mergeCell ref="AK20:AN20"/>
    <mergeCell ref="AO20:AR20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W92"/>
  <sheetViews>
    <sheetView showGridLines="0" zoomScale="157" zoomScaleNormal="41" workbookViewId="0">
      <selection activeCell="D13" sqref="D13"/>
    </sheetView>
  </sheetViews>
  <sheetFormatPr defaultColWidth="9.109375" defaultRowHeight="13.8" x14ac:dyDescent="0.3"/>
  <cols>
    <col min="1" max="1" width="1.44140625" style="1" customWidth="1"/>
    <col min="2" max="2" width="10.33203125" style="1" customWidth="1"/>
    <col min="3" max="3" width="13.109375" style="1" customWidth="1"/>
    <col min="4" max="4" width="16.5546875" style="8" customWidth="1"/>
    <col min="5" max="5" width="14.5546875" style="6" customWidth="1"/>
    <col min="6" max="6" width="17.44140625" style="6" customWidth="1"/>
    <col min="7" max="7" width="21.6640625" style="6" customWidth="1"/>
    <col min="8" max="16" width="9.109375" style="1"/>
    <col min="17" max="17" width="14.88671875" style="1" customWidth="1"/>
    <col min="18" max="16384" width="9.109375" style="1"/>
  </cols>
  <sheetData>
    <row r="1" spans="2:49" ht="6.75" customHeight="1" x14ac:dyDescent="0.3">
      <c r="D1" s="8" t="s">
        <v>125</v>
      </c>
    </row>
    <row r="2" spans="2:49" ht="20.399999999999999" x14ac:dyDescent="0.3">
      <c r="B2" s="12" t="s">
        <v>138</v>
      </c>
      <c r="C2" s="13"/>
      <c r="D2" s="14"/>
      <c r="E2" s="15"/>
      <c r="F2" s="15"/>
      <c r="G2" s="16"/>
    </row>
    <row r="3" spans="2:49" x14ac:dyDescent="0.3">
      <c r="B3" s="23" t="s">
        <v>60</v>
      </c>
      <c r="C3" s="24" t="s">
        <v>126</v>
      </c>
      <c r="D3" s="25" t="s">
        <v>11</v>
      </c>
      <c r="E3" s="26" t="s">
        <v>127</v>
      </c>
      <c r="F3" s="25" t="s">
        <v>12</v>
      </c>
      <c r="G3" s="26" t="s">
        <v>119</v>
      </c>
    </row>
    <row r="4" spans="2:49" ht="16.5" customHeight="1" x14ac:dyDescent="0.3">
      <c r="B4" s="59" t="s">
        <v>1</v>
      </c>
      <c r="C4" s="59" t="s">
        <v>2</v>
      </c>
      <c r="D4" s="59" t="s">
        <v>3</v>
      </c>
      <c r="E4" s="58" t="s">
        <v>4</v>
      </c>
      <c r="F4" s="58" t="s">
        <v>6</v>
      </c>
      <c r="G4" s="58" t="s">
        <v>5</v>
      </c>
      <c r="P4" s="1" t="s">
        <v>0</v>
      </c>
      <c r="Q4" s="1" t="s">
        <v>52</v>
      </c>
    </row>
    <row r="5" spans="2:49" x14ac:dyDescent="0.3">
      <c r="B5" s="59"/>
      <c r="C5" s="59"/>
      <c r="D5" s="59"/>
      <c r="E5" s="58"/>
      <c r="F5" s="58"/>
      <c r="G5" s="58"/>
      <c r="P5" s="11" t="s">
        <v>50</v>
      </c>
      <c r="Q5" s="10">
        <v>4</v>
      </c>
      <c r="AB5" s="1" t="s">
        <v>8</v>
      </c>
      <c r="AC5" s="1" t="s">
        <v>52</v>
      </c>
    </row>
    <row r="6" spans="2:49" ht="14.25" customHeight="1" x14ac:dyDescent="0.3">
      <c r="B6" s="60" t="s">
        <v>0</v>
      </c>
      <c r="C6" s="68">
        <v>1</v>
      </c>
      <c r="D6" s="2" t="s">
        <v>13</v>
      </c>
      <c r="E6" s="7">
        <v>1</v>
      </c>
      <c r="F6" s="61">
        <f>SUM(E6:E12)</f>
        <v>6</v>
      </c>
      <c r="G6" s="64">
        <f>SUM(F6:F24)</f>
        <v>12</v>
      </c>
      <c r="P6" s="9" t="s">
        <v>51</v>
      </c>
      <c r="Q6" s="7">
        <v>4</v>
      </c>
      <c r="AB6" s="1" t="s">
        <v>51</v>
      </c>
      <c r="AC6" s="1">
        <v>0</v>
      </c>
    </row>
    <row r="7" spans="2:49" ht="14.25" customHeight="1" x14ac:dyDescent="0.3">
      <c r="B7" s="60"/>
      <c r="C7" s="69"/>
      <c r="D7" s="2" t="s">
        <v>14</v>
      </c>
      <c r="E7" s="7">
        <v>1</v>
      </c>
      <c r="F7" s="62"/>
      <c r="G7" s="64"/>
      <c r="P7" s="11" t="s">
        <v>49</v>
      </c>
      <c r="Q7" s="10">
        <v>0</v>
      </c>
      <c r="AB7" s="1" t="s">
        <v>49</v>
      </c>
      <c r="AC7" s="1">
        <v>2</v>
      </c>
      <c r="AV7" s="1" t="s">
        <v>10</v>
      </c>
      <c r="AW7" s="1" t="s">
        <v>52</v>
      </c>
    </row>
    <row r="8" spans="2:49" ht="14.25" customHeight="1" x14ac:dyDescent="0.3">
      <c r="B8" s="60"/>
      <c r="C8" s="69"/>
      <c r="D8" s="2" t="s">
        <v>15</v>
      </c>
      <c r="E8" s="7">
        <v>2</v>
      </c>
      <c r="F8" s="62"/>
      <c r="G8" s="64"/>
      <c r="AB8" s="1" t="s">
        <v>50</v>
      </c>
      <c r="AC8" s="1">
        <v>3</v>
      </c>
      <c r="AV8" s="1" t="s">
        <v>51</v>
      </c>
      <c r="AW8" s="1">
        <v>0</v>
      </c>
    </row>
    <row r="9" spans="2:49" ht="14.25" customHeight="1" x14ac:dyDescent="0.3">
      <c r="B9" s="60"/>
      <c r="C9" s="69"/>
      <c r="D9" s="2" t="s">
        <v>16</v>
      </c>
      <c r="E9" s="7">
        <v>1</v>
      </c>
      <c r="F9" s="62"/>
      <c r="G9" s="64"/>
      <c r="AV9" s="1" t="s">
        <v>49</v>
      </c>
      <c r="AW9" s="1">
        <v>0</v>
      </c>
    </row>
    <row r="10" spans="2:49" ht="14.25" customHeight="1" x14ac:dyDescent="0.3">
      <c r="B10" s="60"/>
      <c r="C10" s="69"/>
      <c r="D10" s="2" t="s">
        <v>17</v>
      </c>
      <c r="E10" s="7"/>
      <c r="F10" s="62"/>
      <c r="G10" s="64"/>
      <c r="AV10" s="1" t="s">
        <v>50</v>
      </c>
      <c r="AW10" s="1">
        <v>0</v>
      </c>
    </row>
    <row r="11" spans="2:49" ht="14.25" customHeight="1" x14ac:dyDescent="0.3">
      <c r="B11" s="60"/>
      <c r="C11" s="69"/>
      <c r="D11" s="2" t="s">
        <v>18</v>
      </c>
      <c r="E11" s="7">
        <v>1</v>
      </c>
      <c r="F11" s="62"/>
      <c r="G11" s="64"/>
    </row>
    <row r="12" spans="2:49" ht="14.25" customHeight="1" x14ac:dyDescent="0.3">
      <c r="B12" s="60"/>
      <c r="C12" s="70"/>
      <c r="D12" s="2" t="s">
        <v>19</v>
      </c>
      <c r="E12" s="7"/>
      <c r="F12" s="63"/>
      <c r="G12" s="64"/>
      <c r="W12" s="1" t="s">
        <v>120</v>
      </c>
    </row>
    <row r="13" spans="2:49" x14ac:dyDescent="0.3">
      <c r="B13" s="60"/>
      <c r="C13" s="3">
        <v>2</v>
      </c>
      <c r="D13" s="2" t="s">
        <v>20</v>
      </c>
      <c r="E13" s="7"/>
      <c r="F13" s="7"/>
      <c r="G13" s="64"/>
    </row>
    <row r="14" spans="2:49" ht="14.25" customHeight="1" x14ac:dyDescent="0.3">
      <c r="B14" s="60"/>
      <c r="C14" s="65">
        <v>3</v>
      </c>
      <c r="D14" s="2" t="s">
        <v>21</v>
      </c>
      <c r="E14" s="7">
        <v>1</v>
      </c>
      <c r="F14" s="61">
        <f>SUM(E14:E24)</f>
        <v>6</v>
      </c>
      <c r="G14" s="64"/>
    </row>
    <row r="15" spans="2:49" ht="14.25" customHeight="1" x14ac:dyDescent="0.3">
      <c r="B15" s="60"/>
      <c r="C15" s="66"/>
      <c r="D15" s="2" t="s">
        <v>22</v>
      </c>
      <c r="E15" s="7"/>
      <c r="F15" s="62"/>
      <c r="G15" s="64"/>
    </row>
    <row r="16" spans="2:49" ht="14.25" customHeight="1" x14ac:dyDescent="0.3">
      <c r="B16" s="60"/>
      <c r="C16" s="66"/>
      <c r="D16" s="2" t="s">
        <v>23</v>
      </c>
      <c r="E16" s="7">
        <v>3</v>
      </c>
      <c r="F16" s="62"/>
      <c r="G16" s="64"/>
    </row>
    <row r="17" spans="2:7" ht="18" customHeight="1" x14ac:dyDescent="0.3">
      <c r="B17" s="60"/>
      <c r="C17" s="66"/>
      <c r="D17" s="2" t="s">
        <v>24</v>
      </c>
      <c r="E17" s="7"/>
      <c r="F17" s="62"/>
      <c r="G17" s="64"/>
    </row>
    <row r="18" spans="2:7" ht="14.25" customHeight="1" x14ac:dyDescent="0.3">
      <c r="B18" s="60"/>
      <c r="C18" s="66"/>
      <c r="D18" s="2" t="s">
        <v>25</v>
      </c>
      <c r="E18" s="7"/>
      <c r="F18" s="62"/>
      <c r="G18" s="64"/>
    </row>
    <row r="19" spans="2:7" ht="14.25" customHeight="1" x14ac:dyDescent="0.3">
      <c r="B19" s="60"/>
      <c r="C19" s="66"/>
      <c r="D19" s="2" t="s">
        <v>26</v>
      </c>
      <c r="E19" s="7">
        <v>1</v>
      </c>
      <c r="F19" s="62"/>
      <c r="G19" s="64"/>
    </row>
    <row r="20" spans="2:7" ht="14.25" customHeight="1" x14ac:dyDescent="0.3">
      <c r="B20" s="60"/>
      <c r="C20" s="66"/>
      <c r="D20" s="2" t="s">
        <v>27</v>
      </c>
      <c r="E20" s="7"/>
      <c r="F20" s="62"/>
      <c r="G20" s="64"/>
    </row>
    <row r="21" spans="2:7" ht="14.25" customHeight="1" x14ac:dyDescent="0.3">
      <c r="B21" s="60"/>
      <c r="C21" s="66"/>
      <c r="D21" s="2" t="s">
        <v>28</v>
      </c>
      <c r="E21" s="7"/>
      <c r="F21" s="62"/>
      <c r="G21" s="64"/>
    </row>
    <row r="22" spans="2:7" ht="14.25" customHeight="1" x14ac:dyDescent="0.3">
      <c r="B22" s="60"/>
      <c r="C22" s="66"/>
      <c r="D22" s="2" t="s">
        <v>29</v>
      </c>
      <c r="E22" s="7"/>
      <c r="F22" s="62"/>
      <c r="G22" s="64"/>
    </row>
    <row r="23" spans="2:7" ht="14.25" customHeight="1" x14ac:dyDescent="0.3">
      <c r="B23" s="60"/>
      <c r="C23" s="66"/>
      <c r="D23" s="2" t="s">
        <v>30</v>
      </c>
      <c r="E23" s="7">
        <v>1</v>
      </c>
      <c r="F23" s="62"/>
      <c r="G23" s="64"/>
    </row>
    <row r="24" spans="2:7" ht="14.25" customHeight="1" x14ac:dyDescent="0.3">
      <c r="B24" s="60"/>
      <c r="C24" s="67"/>
      <c r="D24" s="2" t="s">
        <v>31</v>
      </c>
      <c r="E24" s="7"/>
      <c r="F24" s="63"/>
      <c r="G24" s="64"/>
    </row>
    <row r="25" spans="2:7" x14ac:dyDescent="0.3">
      <c r="B25" s="60" t="s">
        <v>7</v>
      </c>
      <c r="C25" s="65">
        <v>1</v>
      </c>
      <c r="D25" s="2" t="s">
        <v>32</v>
      </c>
      <c r="E25" s="5"/>
      <c r="F25" s="61"/>
      <c r="G25" s="61">
        <f>SUM(F25:F35)</f>
        <v>1</v>
      </c>
    </row>
    <row r="26" spans="2:7" x14ac:dyDescent="0.3">
      <c r="B26" s="60"/>
      <c r="C26" s="66"/>
      <c r="D26" s="2" t="s">
        <v>33</v>
      </c>
      <c r="E26" s="5"/>
      <c r="F26" s="62"/>
      <c r="G26" s="62"/>
    </row>
    <row r="27" spans="2:7" x14ac:dyDescent="0.3">
      <c r="B27" s="60"/>
      <c r="C27" s="67"/>
      <c r="D27" s="2" t="s">
        <v>34</v>
      </c>
      <c r="E27" s="5"/>
      <c r="F27" s="63"/>
      <c r="G27" s="62"/>
    </row>
    <row r="28" spans="2:7" x14ac:dyDescent="0.3">
      <c r="B28" s="60"/>
      <c r="C28" s="60">
        <v>2</v>
      </c>
      <c r="D28" s="2" t="s">
        <v>20</v>
      </c>
      <c r="E28" s="5"/>
      <c r="F28" s="61"/>
      <c r="G28" s="62"/>
    </row>
    <row r="29" spans="2:7" x14ac:dyDescent="0.3">
      <c r="B29" s="60"/>
      <c r="C29" s="60"/>
      <c r="D29" s="2" t="s">
        <v>35</v>
      </c>
      <c r="E29" s="5"/>
      <c r="F29" s="63"/>
      <c r="G29" s="62"/>
    </row>
    <row r="30" spans="2:7" x14ac:dyDescent="0.3">
      <c r="B30" s="60"/>
      <c r="C30" s="60">
        <v>3</v>
      </c>
      <c r="D30" s="2" t="s">
        <v>21</v>
      </c>
      <c r="E30" s="5"/>
      <c r="F30" s="61">
        <f>SUM(E30:E35)</f>
        <v>1</v>
      </c>
      <c r="G30" s="62"/>
    </row>
    <row r="31" spans="2:7" x14ac:dyDescent="0.3">
      <c r="B31" s="60"/>
      <c r="C31" s="60"/>
      <c r="D31" s="2" t="s">
        <v>36</v>
      </c>
      <c r="E31" s="5">
        <v>1</v>
      </c>
      <c r="F31" s="62"/>
      <c r="G31" s="62"/>
    </row>
    <row r="32" spans="2:7" x14ac:dyDescent="0.3">
      <c r="B32" s="60"/>
      <c r="C32" s="60"/>
      <c r="D32" s="2" t="s">
        <v>37</v>
      </c>
      <c r="E32" s="5"/>
      <c r="F32" s="62"/>
      <c r="G32" s="62"/>
    </row>
    <row r="33" spans="2:7" x14ac:dyDescent="0.3">
      <c r="B33" s="60"/>
      <c r="C33" s="60"/>
      <c r="D33" s="2" t="s">
        <v>38</v>
      </c>
      <c r="E33" s="5"/>
      <c r="F33" s="62"/>
      <c r="G33" s="62"/>
    </row>
    <row r="34" spans="2:7" x14ac:dyDescent="0.3">
      <c r="B34" s="60"/>
      <c r="C34" s="60"/>
      <c r="D34" s="2" t="s">
        <v>23</v>
      </c>
      <c r="E34" s="5"/>
      <c r="F34" s="62"/>
      <c r="G34" s="62"/>
    </row>
    <row r="35" spans="2:7" x14ac:dyDescent="0.3">
      <c r="B35" s="60"/>
      <c r="C35" s="60"/>
      <c r="D35" s="2" t="s">
        <v>39</v>
      </c>
      <c r="E35" s="5"/>
      <c r="F35" s="63"/>
      <c r="G35" s="63"/>
    </row>
    <row r="36" spans="2:7" x14ac:dyDescent="0.3">
      <c r="B36" s="60" t="s">
        <v>8</v>
      </c>
      <c r="C36" s="60">
        <v>1</v>
      </c>
      <c r="D36" s="4" t="s">
        <v>13</v>
      </c>
      <c r="E36" s="5"/>
      <c r="F36" s="61"/>
      <c r="G36" s="61">
        <f>SUM(F36:F50)</f>
        <v>6</v>
      </c>
    </row>
    <row r="37" spans="2:7" x14ac:dyDescent="0.3">
      <c r="B37" s="60"/>
      <c r="C37" s="60"/>
      <c r="D37" s="4" t="s">
        <v>14</v>
      </c>
      <c r="E37" s="5"/>
      <c r="F37" s="62"/>
      <c r="G37" s="62"/>
    </row>
    <row r="38" spans="2:7" x14ac:dyDescent="0.3">
      <c r="B38" s="60"/>
      <c r="C38" s="60"/>
      <c r="D38" s="4" t="s">
        <v>15</v>
      </c>
      <c r="E38" s="5"/>
      <c r="F38" s="62"/>
      <c r="G38" s="62"/>
    </row>
    <row r="39" spans="2:7" x14ac:dyDescent="0.3">
      <c r="B39" s="60"/>
      <c r="C39" s="60"/>
      <c r="D39" s="2" t="s">
        <v>32</v>
      </c>
      <c r="E39" s="5"/>
      <c r="F39" s="62"/>
      <c r="G39" s="62"/>
    </row>
    <row r="40" spans="2:7" x14ac:dyDescent="0.3">
      <c r="B40" s="60"/>
      <c r="C40" s="60"/>
      <c r="D40" s="2" t="s">
        <v>18</v>
      </c>
      <c r="E40" s="5"/>
      <c r="F40" s="63"/>
      <c r="G40" s="62"/>
    </row>
    <row r="41" spans="2:7" x14ac:dyDescent="0.3">
      <c r="B41" s="60"/>
      <c r="C41" s="60">
        <v>2</v>
      </c>
      <c r="D41" s="2" t="s">
        <v>20</v>
      </c>
      <c r="E41" s="5">
        <v>1</v>
      </c>
      <c r="F41" s="61">
        <f>SUM(E41:E43)</f>
        <v>3</v>
      </c>
      <c r="G41" s="62"/>
    </row>
    <row r="42" spans="2:7" x14ac:dyDescent="0.3">
      <c r="B42" s="60"/>
      <c r="C42" s="60"/>
      <c r="D42" s="2" t="s">
        <v>35</v>
      </c>
      <c r="E42" s="5">
        <v>2</v>
      </c>
      <c r="F42" s="62"/>
      <c r="G42" s="62"/>
    </row>
    <row r="43" spans="2:7" x14ac:dyDescent="0.3">
      <c r="B43" s="60"/>
      <c r="C43" s="60"/>
      <c r="D43" s="2" t="s">
        <v>40</v>
      </c>
      <c r="E43" s="5"/>
      <c r="F43" s="63"/>
      <c r="G43" s="62"/>
    </row>
    <row r="44" spans="2:7" x14ac:dyDescent="0.3">
      <c r="B44" s="60"/>
      <c r="C44" s="60">
        <v>3</v>
      </c>
      <c r="D44" s="2" t="s">
        <v>21</v>
      </c>
      <c r="E44" s="5"/>
      <c r="F44" s="61">
        <f>SUM(E44:E50)</f>
        <v>3</v>
      </c>
      <c r="G44" s="62"/>
    </row>
    <row r="45" spans="2:7" x14ac:dyDescent="0.3">
      <c r="B45" s="60"/>
      <c r="C45" s="60"/>
      <c r="D45" s="2" t="s">
        <v>22</v>
      </c>
      <c r="E45" s="5">
        <v>2</v>
      </c>
      <c r="F45" s="62"/>
      <c r="G45" s="62"/>
    </row>
    <row r="46" spans="2:7" x14ac:dyDescent="0.3">
      <c r="B46" s="60"/>
      <c r="C46" s="60"/>
      <c r="D46" s="4" t="s">
        <v>41</v>
      </c>
      <c r="E46" s="5"/>
      <c r="F46" s="62"/>
      <c r="G46" s="62"/>
    </row>
    <row r="47" spans="2:7" x14ac:dyDescent="0.3">
      <c r="B47" s="60"/>
      <c r="C47" s="60"/>
      <c r="D47" s="4" t="s">
        <v>42</v>
      </c>
      <c r="E47" s="5"/>
      <c r="F47" s="62"/>
      <c r="G47" s="62"/>
    </row>
    <row r="48" spans="2:7" x14ac:dyDescent="0.3">
      <c r="B48" s="60"/>
      <c r="C48" s="60"/>
      <c r="D48" s="4" t="s">
        <v>24</v>
      </c>
      <c r="E48" s="5">
        <v>1</v>
      </c>
      <c r="F48" s="62"/>
      <c r="G48" s="62"/>
    </row>
    <row r="49" spans="2:29" x14ac:dyDescent="0.3">
      <c r="B49" s="60"/>
      <c r="C49" s="60"/>
      <c r="D49" s="4" t="s">
        <v>25</v>
      </c>
      <c r="E49" s="7"/>
      <c r="F49" s="62"/>
      <c r="G49" s="62"/>
    </row>
    <row r="50" spans="2:29" x14ac:dyDescent="0.3">
      <c r="B50" s="60"/>
      <c r="C50" s="60"/>
      <c r="D50" s="4" t="s">
        <v>43</v>
      </c>
      <c r="E50" s="7"/>
      <c r="F50" s="63"/>
      <c r="G50" s="63"/>
    </row>
    <row r="51" spans="2:29" x14ac:dyDescent="0.3">
      <c r="B51" s="60" t="s">
        <v>9</v>
      </c>
      <c r="C51" s="60">
        <v>1</v>
      </c>
      <c r="D51" s="2" t="s">
        <v>32</v>
      </c>
      <c r="E51" s="5"/>
      <c r="F51" s="61">
        <f>SUM(E51:E53)</f>
        <v>3</v>
      </c>
      <c r="G51" s="61">
        <f>SUM(F51:F61)</f>
        <v>6</v>
      </c>
      <c r="AB51" s="1" t="s">
        <v>9</v>
      </c>
      <c r="AC51" s="1" t="s">
        <v>52</v>
      </c>
    </row>
    <row r="52" spans="2:29" x14ac:dyDescent="0.3">
      <c r="B52" s="60"/>
      <c r="C52" s="60"/>
      <c r="D52" s="2" t="s">
        <v>17</v>
      </c>
      <c r="E52" s="5"/>
      <c r="F52" s="62"/>
      <c r="G52" s="62"/>
      <c r="AB52" s="1" t="s">
        <v>51</v>
      </c>
      <c r="AC52" s="1">
        <v>0</v>
      </c>
    </row>
    <row r="53" spans="2:29" x14ac:dyDescent="0.3">
      <c r="B53" s="60"/>
      <c r="C53" s="60"/>
      <c r="D53" s="2" t="s">
        <v>18</v>
      </c>
      <c r="E53" s="5">
        <v>3</v>
      </c>
      <c r="F53" s="63"/>
      <c r="G53" s="62"/>
      <c r="AB53" s="1" t="s">
        <v>49</v>
      </c>
      <c r="AC53" s="1">
        <v>0</v>
      </c>
    </row>
    <row r="54" spans="2:29" x14ac:dyDescent="0.3">
      <c r="B54" s="60"/>
      <c r="C54" s="60">
        <v>2</v>
      </c>
      <c r="D54" s="2" t="s">
        <v>20</v>
      </c>
      <c r="E54" s="5">
        <v>1</v>
      </c>
      <c r="F54" s="61">
        <f>SUM(E54:E55)</f>
        <v>2</v>
      </c>
      <c r="G54" s="62"/>
      <c r="I54" s="1" t="s">
        <v>7</v>
      </c>
      <c r="J54" s="1" t="s">
        <v>52</v>
      </c>
      <c r="AB54" s="1" t="s">
        <v>50</v>
      </c>
      <c r="AC54" s="1">
        <v>0</v>
      </c>
    </row>
    <row r="55" spans="2:29" x14ac:dyDescent="0.3">
      <c r="B55" s="60"/>
      <c r="C55" s="60"/>
      <c r="D55" s="2" t="s">
        <v>35</v>
      </c>
      <c r="E55" s="5">
        <v>1</v>
      </c>
      <c r="F55" s="63"/>
      <c r="G55" s="62"/>
      <c r="I55" s="1" t="s">
        <v>51</v>
      </c>
      <c r="J55" s="1">
        <v>1</v>
      </c>
    </row>
    <row r="56" spans="2:29" x14ac:dyDescent="0.3">
      <c r="B56" s="60"/>
      <c r="C56" s="60">
        <v>3</v>
      </c>
      <c r="D56" s="2" t="s">
        <v>44</v>
      </c>
      <c r="E56" s="5"/>
      <c r="F56" s="61">
        <f>SUM(E56:E61)</f>
        <v>1</v>
      </c>
      <c r="G56" s="62"/>
      <c r="I56" s="1" t="s">
        <v>49</v>
      </c>
      <c r="J56" s="1">
        <v>3</v>
      </c>
    </row>
    <row r="57" spans="2:29" x14ac:dyDescent="0.3">
      <c r="B57" s="60"/>
      <c r="C57" s="60"/>
      <c r="D57" s="2" t="s">
        <v>45</v>
      </c>
      <c r="E57" s="5"/>
      <c r="F57" s="62"/>
      <c r="G57" s="62"/>
      <c r="I57" s="1" t="s">
        <v>50</v>
      </c>
      <c r="J57" s="1">
        <v>3</v>
      </c>
    </row>
    <row r="58" spans="2:29" x14ac:dyDescent="0.3">
      <c r="B58" s="60"/>
      <c r="C58" s="60"/>
      <c r="D58" s="2" t="s">
        <v>22</v>
      </c>
      <c r="E58" s="5"/>
      <c r="F58" s="62"/>
      <c r="G58" s="62"/>
    </row>
    <row r="59" spans="2:29" x14ac:dyDescent="0.3">
      <c r="B59" s="60"/>
      <c r="C59" s="60"/>
      <c r="D59" s="2" t="s">
        <v>41</v>
      </c>
      <c r="E59" s="5">
        <v>1</v>
      </c>
      <c r="F59" s="62"/>
      <c r="G59" s="62"/>
    </row>
    <row r="60" spans="2:29" x14ac:dyDescent="0.3">
      <c r="B60" s="60"/>
      <c r="C60" s="60"/>
      <c r="D60" s="2" t="s">
        <v>42</v>
      </c>
      <c r="E60" s="7"/>
      <c r="F60" s="62"/>
      <c r="G60" s="62"/>
    </row>
    <row r="61" spans="2:29" x14ac:dyDescent="0.3">
      <c r="B61" s="60"/>
      <c r="C61" s="60"/>
      <c r="D61" s="2" t="s">
        <v>46</v>
      </c>
      <c r="E61" s="7"/>
      <c r="F61" s="63"/>
      <c r="G61" s="63"/>
    </row>
    <row r="62" spans="2:29" x14ac:dyDescent="0.3">
      <c r="B62" s="71" t="s">
        <v>10</v>
      </c>
      <c r="C62" s="60">
        <v>1</v>
      </c>
      <c r="D62" s="4" t="s">
        <v>13</v>
      </c>
      <c r="E62" s="5"/>
      <c r="F62" s="61"/>
      <c r="G62" s="61">
        <f>SUM(F62:F75)</f>
        <v>1</v>
      </c>
    </row>
    <row r="63" spans="2:29" x14ac:dyDescent="0.3">
      <c r="B63" s="71"/>
      <c r="C63" s="60"/>
      <c r="D63" s="4" t="s">
        <v>14</v>
      </c>
      <c r="E63" s="5"/>
      <c r="F63" s="62"/>
      <c r="G63" s="62"/>
    </row>
    <row r="64" spans="2:29" x14ac:dyDescent="0.3">
      <c r="B64" s="71"/>
      <c r="C64" s="60"/>
      <c r="D64" s="4" t="s">
        <v>15</v>
      </c>
      <c r="E64" s="5"/>
      <c r="F64" s="62"/>
      <c r="G64" s="62"/>
    </row>
    <row r="65" spans="2:8" x14ac:dyDescent="0.3">
      <c r="B65" s="71"/>
      <c r="C65" s="60"/>
      <c r="D65" s="2" t="s">
        <v>17</v>
      </c>
      <c r="E65" s="5"/>
      <c r="F65" s="63"/>
      <c r="G65" s="62"/>
    </row>
    <row r="66" spans="2:8" x14ac:dyDescent="0.3">
      <c r="B66" s="71"/>
      <c r="C66" s="60">
        <v>2</v>
      </c>
      <c r="D66" s="2" t="s">
        <v>47</v>
      </c>
      <c r="E66" s="5"/>
      <c r="F66" s="61"/>
      <c r="G66" s="62"/>
    </row>
    <row r="67" spans="2:8" x14ac:dyDescent="0.3">
      <c r="B67" s="71"/>
      <c r="C67" s="60"/>
      <c r="D67" s="2" t="s">
        <v>48</v>
      </c>
      <c r="E67" s="5"/>
      <c r="F67" s="62"/>
      <c r="G67" s="62"/>
    </row>
    <row r="68" spans="2:8" x14ac:dyDescent="0.3">
      <c r="B68" s="71"/>
      <c r="C68" s="60"/>
      <c r="D68" s="2" t="s">
        <v>35</v>
      </c>
      <c r="E68" s="5"/>
      <c r="F68" s="62"/>
      <c r="G68" s="62"/>
    </row>
    <row r="69" spans="2:8" x14ac:dyDescent="0.3">
      <c r="B69" s="71"/>
      <c r="C69" s="60"/>
      <c r="D69" s="2" t="s">
        <v>40</v>
      </c>
      <c r="E69" s="5"/>
      <c r="F69" s="63"/>
      <c r="G69" s="62"/>
    </row>
    <row r="70" spans="2:8" ht="14.25" customHeight="1" x14ac:dyDescent="0.3">
      <c r="B70" s="71"/>
      <c r="C70" s="60">
        <v>3</v>
      </c>
      <c r="D70" s="2" t="s">
        <v>21</v>
      </c>
      <c r="E70" s="5"/>
      <c r="F70" s="61">
        <f>SUM(E70:E75)</f>
        <v>1</v>
      </c>
      <c r="G70" s="62"/>
    </row>
    <row r="71" spans="2:8" ht="14.25" customHeight="1" x14ac:dyDescent="0.3">
      <c r="B71" s="71"/>
      <c r="C71" s="60"/>
      <c r="D71" s="2" t="s">
        <v>36</v>
      </c>
      <c r="E71" s="5">
        <v>1</v>
      </c>
      <c r="F71" s="62"/>
      <c r="G71" s="62"/>
    </row>
    <row r="72" spans="2:8" ht="14.25" customHeight="1" x14ac:dyDescent="0.3">
      <c r="B72" s="71"/>
      <c r="C72" s="60"/>
      <c r="D72" s="2" t="s">
        <v>37</v>
      </c>
      <c r="E72" s="5"/>
      <c r="F72" s="62"/>
      <c r="G72" s="62"/>
      <c r="H72" s="1" t="s">
        <v>124</v>
      </c>
    </row>
    <row r="73" spans="2:8" ht="14.25" customHeight="1" x14ac:dyDescent="0.3">
      <c r="B73" s="71"/>
      <c r="C73" s="60"/>
      <c r="D73" s="2" t="s">
        <v>38</v>
      </c>
      <c r="E73" s="5"/>
      <c r="F73" s="62"/>
      <c r="G73" s="62"/>
    </row>
    <row r="74" spans="2:8" ht="14.25" customHeight="1" x14ac:dyDescent="0.3">
      <c r="B74" s="71"/>
      <c r="C74" s="60"/>
      <c r="D74" s="4" t="s">
        <v>41</v>
      </c>
      <c r="E74" s="5"/>
      <c r="F74" s="62"/>
      <c r="G74" s="62"/>
    </row>
    <row r="75" spans="2:8" ht="14.25" customHeight="1" x14ac:dyDescent="0.3">
      <c r="B75" s="71"/>
      <c r="C75" s="60"/>
      <c r="D75" s="4" t="s">
        <v>42</v>
      </c>
      <c r="E75" s="7"/>
      <c r="F75" s="63"/>
      <c r="G75" s="63"/>
    </row>
    <row r="77" spans="2:8" x14ac:dyDescent="0.3">
      <c r="B77" s="1" t="s">
        <v>1</v>
      </c>
      <c r="C77" s="1" t="s">
        <v>52</v>
      </c>
    </row>
    <row r="78" spans="2:8" x14ac:dyDescent="0.3">
      <c r="B78" s="1" t="s">
        <v>0</v>
      </c>
      <c r="C78" s="6">
        <v>12</v>
      </c>
    </row>
    <row r="79" spans="2:8" x14ac:dyDescent="0.3">
      <c r="B79" s="1" t="s">
        <v>8</v>
      </c>
      <c r="C79" s="6">
        <v>6</v>
      </c>
    </row>
    <row r="80" spans="2:8" x14ac:dyDescent="0.3">
      <c r="B80" s="1" t="s">
        <v>10</v>
      </c>
      <c r="C80" s="6">
        <v>1</v>
      </c>
    </row>
    <row r="81" spans="2:7" x14ac:dyDescent="0.3">
      <c r="B81" s="1" t="s">
        <v>7</v>
      </c>
      <c r="C81" s="6">
        <v>1</v>
      </c>
    </row>
    <row r="82" spans="2:7" x14ac:dyDescent="0.3">
      <c r="B82" s="1" t="s">
        <v>9</v>
      </c>
      <c r="C82" s="6">
        <v>6</v>
      </c>
    </row>
    <row r="90" spans="2:7" x14ac:dyDescent="0.3">
      <c r="B90" s="1" t="s">
        <v>53</v>
      </c>
      <c r="C90" s="1" t="s">
        <v>54</v>
      </c>
      <c r="D90" s="1"/>
      <c r="E90" s="1"/>
      <c r="F90" s="1"/>
      <c r="G90" s="1"/>
    </row>
    <row r="91" spans="2:7" x14ac:dyDescent="0.3">
      <c r="C91" s="1" t="s">
        <v>55</v>
      </c>
      <c r="D91" s="1"/>
      <c r="E91" s="1"/>
      <c r="F91" s="1"/>
      <c r="G91" s="1"/>
    </row>
    <row r="92" spans="2:7" x14ac:dyDescent="0.3">
      <c r="C92" s="1" t="s">
        <v>56</v>
      </c>
      <c r="D92" s="1"/>
      <c r="E92" s="1"/>
      <c r="F92" s="1"/>
      <c r="G92" s="1"/>
    </row>
  </sheetData>
  <sortState xmlns:xlrd2="http://schemas.microsoft.com/office/spreadsheetml/2017/richdata2" ref="B78:C82">
    <sortCondition descending="1" ref="C78:C82"/>
  </sortState>
  <mergeCells count="44">
    <mergeCell ref="G62:G75"/>
    <mergeCell ref="F70:F75"/>
    <mergeCell ref="F66:F69"/>
    <mergeCell ref="F62:F65"/>
    <mergeCell ref="F25:F27"/>
    <mergeCell ref="G25:G35"/>
    <mergeCell ref="F44:F50"/>
    <mergeCell ref="F41:F43"/>
    <mergeCell ref="F36:F40"/>
    <mergeCell ref="G36:G50"/>
    <mergeCell ref="G51:G61"/>
    <mergeCell ref="F56:F61"/>
    <mergeCell ref="F54:F55"/>
    <mergeCell ref="F51:F53"/>
    <mergeCell ref="C62:C65"/>
    <mergeCell ref="C66:C69"/>
    <mergeCell ref="C70:C75"/>
    <mergeCell ref="B62:B75"/>
    <mergeCell ref="C51:C53"/>
    <mergeCell ref="C54:C55"/>
    <mergeCell ref="C56:C61"/>
    <mergeCell ref="B51:B61"/>
    <mergeCell ref="B36:B50"/>
    <mergeCell ref="F6:F12"/>
    <mergeCell ref="F14:F24"/>
    <mergeCell ref="G6:G24"/>
    <mergeCell ref="B25:B35"/>
    <mergeCell ref="C28:C29"/>
    <mergeCell ref="C30:C35"/>
    <mergeCell ref="C25:C27"/>
    <mergeCell ref="F30:F35"/>
    <mergeCell ref="F28:F29"/>
    <mergeCell ref="B6:B24"/>
    <mergeCell ref="C14:C24"/>
    <mergeCell ref="C6:C12"/>
    <mergeCell ref="C36:C40"/>
    <mergeCell ref="C41:C43"/>
    <mergeCell ref="C44:C50"/>
    <mergeCell ref="G4:G5"/>
    <mergeCell ref="E4:E5"/>
    <mergeCell ref="D4:D5"/>
    <mergeCell ref="B4:B5"/>
    <mergeCell ref="C4:C5"/>
    <mergeCell ref="F4:F5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 Self Audit (Auditor)</vt:lpstr>
      <vt:lpstr>Resume Finding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rumawan</dc:creator>
  <cp:lastModifiedBy>miftakhulyanan14@gmail.com</cp:lastModifiedBy>
  <dcterms:created xsi:type="dcterms:W3CDTF">2026-02-14T02:27:13Z</dcterms:created>
  <dcterms:modified xsi:type="dcterms:W3CDTF">2026-06-08T12:17:32Z</dcterms:modified>
</cp:coreProperties>
</file>