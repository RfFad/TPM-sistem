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F:\DOKUMEN\DOKUMEN QMS\NEW FORMAT TPM (TPM)\5. ALL QC NEW\"/>
    </mc:Choice>
  </mc:AlternateContent>
  <xr:revisionPtr revIDLastSave="0" documentId="13_ncr:1_{27730AA2-A538-47B3-9CA1-68659F39F605}" xr6:coauthVersionLast="45" xr6:coauthVersionMax="47" xr10:uidLastSave="{00000000-0000-0000-0000-000000000000}"/>
  <bookViews>
    <workbookView xWindow="-120" yWindow="-120" windowWidth="20730" windowHeight="11160" xr2:uid="{00000000-000D-0000-FFFF-FFFF00000000}"/>
  </bookViews>
  <sheets>
    <sheet name="MSA KOSONG" sheetId="5" r:id="rId1"/>
    <sheet name="MSA ISI 1" sheetId="1" r:id="rId2"/>
    <sheet name="MSA ISI 2" sheetId="2" r:id="rId3"/>
    <sheet name="MSA ISI 3" sheetId="3" r:id="rId4"/>
    <sheet name="MSA ISI 4" sheetId="4" r:id="rId5"/>
  </sheets>
  <calcPr calcId="191029" iterateDelta="-3.2363318029872255E+29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33" i="5" l="1"/>
  <c r="D32" i="5"/>
  <c r="L30" i="5" s="1"/>
  <c r="N30" i="5" s="1"/>
  <c r="D31" i="5"/>
  <c r="N27" i="5"/>
  <c r="N26" i="5"/>
  <c r="M25" i="5"/>
  <c r="N24" i="5"/>
  <c r="M24" i="5"/>
  <c r="M23" i="5"/>
  <c r="N22" i="5"/>
  <c r="M21" i="5"/>
  <c r="N20" i="5"/>
  <c r="M20" i="5"/>
  <c r="M19" i="5"/>
  <c r="N18" i="5"/>
  <c r="N29" i="5" s="1"/>
  <c r="C39" i="5" s="1"/>
  <c r="M17" i="5"/>
  <c r="N16" i="5"/>
  <c r="M16" i="5"/>
  <c r="M15" i="5"/>
  <c r="G11" i="5"/>
  <c r="N28" i="5" l="1"/>
  <c r="C43" i="5"/>
  <c r="E39" i="5"/>
  <c r="D33" i="4"/>
  <c r="D32" i="4"/>
  <c r="L30" i="4" s="1"/>
  <c r="D31" i="4"/>
  <c r="L27" i="4"/>
  <c r="K27" i="4"/>
  <c r="J27" i="4"/>
  <c r="I27" i="4"/>
  <c r="H27" i="4"/>
  <c r="G27" i="4"/>
  <c r="F27" i="4"/>
  <c r="E27" i="4"/>
  <c r="D27" i="4"/>
  <c r="C27" i="4"/>
  <c r="N27" i="4" s="1"/>
  <c r="L26" i="4"/>
  <c r="K26" i="4"/>
  <c r="J26" i="4"/>
  <c r="I26" i="4"/>
  <c r="H26" i="4"/>
  <c r="G26" i="4"/>
  <c r="F26" i="4"/>
  <c r="E26" i="4"/>
  <c r="D26" i="4"/>
  <c r="C26" i="4"/>
  <c r="M25" i="4"/>
  <c r="N24" i="4"/>
  <c r="M24" i="4"/>
  <c r="M23" i="4"/>
  <c r="L22" i="4"/>
  <c r="K22" i="4"/>
  <c r="J22" i="4"/>
  <c r="I22" i="4"/>
  <c r="H22" i="4"/>
  <c r="G22" i="4"/>
  <c r="F22" i="4"/>
  <c r="E22" i="4"/>
  <c r="D22" i="4"/>
  <c r="C22" i="4"/>
  <c r="M21" i="4"/>
  <c r="N20" i="4"/>
  <c r="M20" i="4"/>
  <c r="M19" i="4"/>
  <c r="L18" i="4"/>
  <c r="K18" i="4"/>
  <c r="J18" i="4"/>
  <c r="I18" i="4"/>
  <c r="H18" i="4"/>
  <c r="G18" i="4"/>
  <c r="F18" i="4"/>
  <c r="E18" i="4"/>
  <c r="D18" i="4"/>
  <c r="C18" i="4"/>
  <c r="M17" i="4"/>
  <c r="N16" i="4"/>
  <c r="N28" i="4" s="1"/>
  <c r="M16" i="4"/>
  <c r="M15" i="4"/>
  <c r="G11" i="4"/>
  <c r="N22" i="4" l="1"/>
  <c r="N26" i="4"/>
  <c r="N18" i="4"/>
  <c r="N29" i="4" s="1"/>
  <c r="C39" i="4" s="1"/>
  <c r="C43" i="4" s="1"/>
  <c r="N30" i="4"/>
  <c r="H39" i="5"/>
  <c r="E43" i="5"/>
  <c r="E39" i="4"/>
  <c r="D33" i="3"/>
  <c r="D32" i="3"/>
  <c r="D31" i="3"/>
  <c r="L30" i="3"/>
  <c r="L27" i="3"/>
  <c r="K27" i="3"/>
  <c r="J27" i="3"/>
  <c r="I27" i="3"/>
  <c r="H27" i="3"/>
  <c r="G27" i="3"/>
  <c r="F27" i="3"/>
  <c r="E27" i="3"/>
  <c r="D27" i="3"/>
  <c r="C27" i="3"/>
  <c r="L26" i="3"/>
  <c r="K26" i="3"/>
  <c r="J26" i="3"/>
  <c r="I26" i="3"/>
  <c r="H26" i="3"/>
  <c r="G26" i="3"/>
  <c r="F26" i="3"/>
  <c r="E26" i="3"/>
  <c r="D26" i="3"/>
  <c r="C26" i="3"/>
  <c r="N26" i="3" s="1"/>
  <c r="M25" i="3"/>
  <c r="N24" i="3"/>
  <c r="M24" i="3"/>
  <c r="M23" i="3"/>
  <c r="L22" i="3"/>
  <c r="K22" i="3"/>
  <c r="J22" i="3"/>
  <c r="I22" i="3"/>
  <c r="H22" i="3"/>
  <c r="G22" i="3"/>
  <c r="F22" i="3"/>
  <c r="E22" i="3"/>
  <c r="D22" i="3"/>
  <c r="C22" i="3"/>
  <c r="M21" i="3"/>
  <c r="N20" i="3"/>
  <c r="M20" i="3"/>
  <c r="M19" i="3"/>
  <c r="L18" i="3"/>
  <c r="K18" i="3"/>
  <c r="J18" i="3"/>
  <c r="I18" i="3"/>
  <c r="H18" i="3"/>
  <c r="G18" i="3"/>
  <c r="F18" i="3"/>
  <c r="E18" i="3"/>
  <c r="D18" i="3"/>
  <c r="C18" i="3"/>
  <c r="N18" i="3" s="1"/>
  <c r="M17" i="3"/>
  <c r="N16" i="3"/>
  <c r="M16" i="3"/>
  <c r="M15" i="3"/>
  <c r="G11" i="3"/>
  <c r="D33" i="2"/>
  <c r="D32" i="2"/>
  <c r="L30" i="2" s="1"/>
  <c r="D31" i="2"/>
  <c r="L27" i="2"/>
  <c r="K27" i="2"/>
  <c r="J27" i="2"/>
  <c r="I27" i="2"/>
  <c r="H27" i="2"/>
  <c r="G27" i="2"/>
  <c r="F27" i="2"/>
  <c r="E27" i="2"/>
  <c r="D27" i="2"/>
  <c r="C27" i="2"/>
  <c r="L26" i="2"/>
  <c r="K26" i="2"/>
  <c r="J26" i="2"/>
  <c r="I26" i="2"/>
  <c r="H26" i="2"/>
  <c r="G26" i="2"/>
  <c r="F26" i="2"/>
  <c r="E26" i="2"/>
  <c r="D26" i="2"/>
  <c r="C26" i="2"/>
  <c r="M25" i="2"/>
  <c r="N24" i="2"/>
  <c r="M24" i="2"/>
  <c r="M23" i="2"/>
  <c r="L22" i="2"/>
  <c r="K22" i="2"/>
  <c r="J22" i="2"/>
  <c r="I22" i="2"/>
  <c r="H22" i="2"/>
  <c r="G22" i="2"/>
  <c r="F22" i="2"/>
  <c r="E22" i="2"/>
  <c r="D22" i="2"/>
  <c r="C22" i="2"/>
  <c r="M21" i="2"/>
  <c r="N20" i="2"/>
  <c r="M20" i="2"/>
  <c r="M19" i="2"/>
  <c r="L18" i="2"/>
  <c r="K18" i="2"/>
  <c r="J18" i="2"/>
  <c r="I18" i="2"/>
  <c r="H18" i="2"/>
  <c r="G18" i="2"/>
  <c r="F18" i="2"/>
  <c r="E18" i="2"/>
  <c r="D18" i="2"/>
  <c r="C18" i="2"/>
  <c r="M17" i="2"/>
  <c r="N16" i="2"/>
  <c r="N28" i="2" s="1"/>
  <c r="M16" i="2"/>
  <c r="M15" i="2"/>
  <c r="G11" i="2"/>
  <c r="N22" i="2" l="1"/>
  <c r="N28" i="3"/>
  <c r="N22" i="3"/>
  <c r="N29" i="3" s="1"/>
  <c r="N27" i="3"/>
  <c r="N27" i="2"/>
  <c r="N18" i="2"/>
  <c r="N29" i="2" s="1"/>
  <c r="C39" i="2" s="1"/>
  <c r="C43" i="2" s="1"/>
  <c r="N26" i="2"/>
  <c r="H43" i="5"/>
  <c r="K39" i="5"/>
  <c r="H39" i="4"/>
  <c r="E43" i="4"/>
  <c r="J26" i="1"/>
  <c r="C39" i="3" l="1"/>
  <c r="N30" i="3"/>
  <c r="N30" i="2"/>
  <c r="E39" i="2"/>
  <c r="H39" i="2" s="1"/>
  <c r="N41" i="5"/>
  <c r="N39" i="5"/>
  <c r="H43" i="4"/>
  <c r="K39" i="4"/>
  <c r="E43" i="2"/>
  <c r="G11" i="1"/>
  <c r="C43" i="3" l="1"/>
  <c r="E39" i="3"/>
  <c r="C41" i="5"/>
  <c r="E41" i="5"/>
  <c r="H41" i="5"/>
  <c r="K41" i="5"/>
  <c r="N41" i="4"/>
  <c r="N39" i="4"/>
  <c r="H43" i="2"/>
  <c r="K39" i="2"/>
  <c r="D33" i="1"/>
  <c r="D32" i="1"/>
  <c r="D31" i="1"/>
  <c r="L30" i="1"/>
  <c r="L27" i="1"/>
  <c r="K27" i="1"/>
  <c r="J27" i="1"/>
  <c r="I27" i="1"/>
  <c r="H27" i="1"/>
  <c r="G27" i="1"/>
  <c r="F27" i="1"/>
  <c r="E27" i="1"/>
  <c r="D27" i="1"/>
  <c r="C27" i="1"/>
  <c r="L26" i="1"/>
  <c r="K26" i="1"/>
  <c r="I26" i="1"/>
  <c r="H26" i="1"/>
  <c r="G26" i="1"/>
  <c r="F26" i="1"/>
  <c r="E26" i="1"/>
  <c r="D26" i="1"/>
  <c r="C26" i="1"/>
  <c r="M25" i="1"/>
  <c r="N24" i="1"/>
  <c r="M24" i="1"/>
  <c r="M23" i="1"/>
  <c r="L22" i="1"/>
  <c r="K22" i="1"/>
  <c r="J22" i="1"/>
  <c r="I22" i="1"/>
  <c r="H22" i="1"/>
  <c r="G22" i="1"/>
  <c r="F22" i="1"/>
  <c r="E22" i="1"/>
  <c r="D22" i="1"/>
  <c r="C22" i="1"/>
  <c r="M21" i="1"/>
  <c r="N20" i="1"/>
  <c r="M20" i="1"/>
  <c r="M19" i="1"/>
  <c r="L18" i="1"/>
  <c r="K18" i="1"/>
  <c r="J18" i="1"/>
  <c r="I18" i="1"/>
  <c r="H18" i="1"/>
  <c r="G18" i="1"/>
  <c r="F18" i="1"/>
  <c r="E18" i="1"/>
  <c r="D18" i="1"/>
  <c r="C18" i="1"/>
  <c r="M17" i="1"/>
  <c r="N16" i="1"/>
  <c r="M16" i="1"/>
  <c r="M15" i="1"/>
  <c r="E43" i="3" l="1"/>
  <c r="H39" i="3"/>
  <c r="N28" i="1"/>
  <c r="C41" i="4"/>
  <c r="E41" i="4"/>
  <c r="H41" i="4"/>
  <c r="K41" i="4"/>
  <c r="N41" i="2"/>
  <c r="N39" i="2"/>
  <c r="N26" i="1"/>
  <c r="N22" i="1"/>
  <c r="N18" i="1"/>
  <c r="N27" i="1"/>
  <c r="H43" i="3" l="1"/>
  <c r="K39" i="3"/>
  <c r="N41" i="3" s="1"/>
  <c r="C41" i="2"/>
  <c r="E41" i="2"/>
  <c r="H41" i="2"/>
  <c r="K41" i="2"/>
  <c r="N29" i="1"/>
  <c r="C39" i="1" s="1"/>
  <c r="N39" i="3" l="1"/>
  <c r="C43" i="1"/>
  <c r="N30" i="1"/>
  <c r="E39" i="1"/>
  <c r="E41" i="3" l="1"/>
  <c r="H41" i="3"/>
  <c r="C41" i="3"/>
  <c r="K41" i="3"/>
  <c r="E43" i="1"/>
  <c r="H39" i="1"/>
  <c r="H43" i="1" l="1"/>
  <c r="K39" i="1"/>
  <c r="N39" i="1" l="1"/>
  <c r="K41" i="1" s="1"/>
  <c r="N41" i="1"/>
  <c r="C41" i="1" l="1"/>
  <c r="E41" i="1"/>
  <c r="H41" i="1"/>
</calcChain>
</file>

<file path=xl/sharedStrings.xml><?xml version="1.0" encoding="utf-8"?>
<sst xmlns="http://schemas.openxmlformats.org/spreadsheetml/2006/main" count="566" uniqueCount="109">
  <si>
    <t xml:space="preserve">GAGE REPEATABILITY &amp; REPRODUCIBILITY STUDY </t>
  </si>
  <si>
    <t xml:space="preserve"> ( Average - Range Method )</t>
  </si>
  <si>
    <t>QUALITY CONTROL SECTION</t>
  </si>
  <si>
    <t>DATE</t>
  </si>
  <si>
    <t>APPROVED</t>
  </si>
  <si>
    <t>CONFIRMED</t>
  </si>
  <si>
    <t>PREVERED</t>
  </si>
  <si>
    <t>GAGE NAME</t>
  </si>
  <si>
    <t>GAGE  NO. REG</t>
  </si>
  <si>
    <t>RESOLUSI GAGE</t>
  </si>
  <si>
    <t>PROSES NAME</t>
  </si>
  <si>
    <t>LSL :</t>
  </si>
  <si>
    <t>USL :</t>
  </si>
  <si>
    <t>Tolerance :</t>
  </si>
  <si>
    <t>mm</t>
  </si>
  <si>
    <t>Appraiser</t>
  </si>
  <si>
    <t>Trial#</t>
  </si>
  <si>
    <t>SAMPLE PART</t>
  </si>
  <si>
    <t>AVG</t>
  </si>
  <si>
    <t xml:space="preserve">AVERAGE </t>
  </si>
  <si>
    <r>
      <t>X</t>
    </r>
    <r>
      <rPr>
        <b/>
        <i/>
        <vertAlign val="subscript"/>
        <sz val="9"/>
        <rFont val="Arial"/>
        <family val="2"/>
      </rPr>
      <t xml:space="preserve">A </t>
    </r>
    <r>
      <rPr>
        <b/>
        <i/>
        <sz val="9"/>
        <rFont val="Arial"/>
        <family val="2"/>
      </rPr>
      <t xml:space="preserve"> =</t>
    </r>
  </si>
  <si>
    <t>Range</t>
  </si>
  <si>
    <r>
      <t>R</t>
    </r>
    <r>
      <rPr>
        <b/>
        <i/>
        <vertAlign val="subscript"/>
        <sz val="9"/>
        <rFont val="Arial"/>
        <family val="2"/>
      </rPr>
      <t xml:space="preserve">A   </t>
    </r>
    <r>
      <rPr>
        <b/>
        <i/>
        <sz val="9"/>
        <rFont val="Arial"/>
        <family val="2"/>
      </rPr>
      <t xml:space="preserve"> =</t>
    </r>
  </si>
  <si>
    <r>
      <t>X</t>
    </r>
    <r>
      <rPr>
        <b/>
        <i/>
        <vertAlign val="subscript"/>
        <sz val="9"/>
        <rFont val="Arial"/>
        <family val="2"/>
      </rPr>
      <t xml:space="preserve">B </t>
    </r>
    <r>
      <rPr>
        <b/>
        <i/>
        <sz val="9"/>
        <rFont val="Arial"/>
        <family val="2"/>
      </rPr>
      <t xml:space="preserve"> =</t>
    </r>
  </si>
  <si>
    <r>
      <t>R</t>
    </r>
    <r>
      <rPr>
        <b/>
        <i/>
        <vertAlign val="subscript"/>
        <sz val="9"/>
        <rFont val="Arial"/>
        <family val="2"/>
      </rPr>
      <t xml:space="preserve">B   </t>
    </r>
    <r>
      <rPr>
        <b/>
        <i/>
        <sz val="9"/>
        <rFont val="Arial"/>
        <family val="2"/>
      </rPr>
      <t>=</t>
    </r>
  </si>
  <si>
    <r>
      <t>X</t>
    </r>
    <r>
      <rPr>
        <b/>
        <i/>
        <vertAlign val="subscript"/>
        <sz val="9"/>
        <rFont val="Arial"/>
        <family val="2"/>
      </rPr>
      <t xml:space="preserve">C </t>
    </r>
    <r>
      <rPr>
        <b/>
        <i/>
        <sz val="9"/>
        <rFont val="Arial"/>
        <family val="2"/>
      </rPr>
      <t xml:space="preserve"> =</t>
    </r>
  </si>
  <si>
    <r>
      <t>R</t>
    </r>
    <r>
      <rPr>
        <b/>
        <i/>
        <vertAlign val="subscript"/>
        <sz val="9"/>
        <rFont val="Arial"/>
        <family val="2"/>
      </rPr>
      <t xml:space="preserve">C </t>
    </r>
    <r>
      <rPr>
        <b/>
        <i/>
        <sz val="9"/>
        <rFont val="Arial"/>
        <family val="2"/>
      </rPr>
      <t xml:space="preserve"> =</t>
    </r>
  </si>
  <si>
    <r>
      <t xml:space="preserve">AVERAGE READING ( </t>
    </r>
    <r>
      <rPr>
        <b/>
        <i/>
        <sz val="8"/>
        <rFont val="Arial"/>
        <family val="2"/>
      </rPr>
      <t>X</t>
    </r>
    <r>
      <rPr>
        <b/>
        <i/>
        <vertAlign val="subscript"/>
        <sz val="8"/>
        <rFont val="Arial"/>
        <family val="2"/>
      </rPr>
      <t>P</t>
    </r>
    <r>
      <rPr>
        <b/>
        <sz val="8"/>
        <rFont val="Arial"/>
        <family val="2"/>
      </rPr>
      <t>)</t>
    </r>
  </si>
  <si>
    <r>
      <t>R</t>
    </r>
    <r>
      <rPr>
        <b/>
        <i/>
        <vertAlign val="subscript"/>
        <sz val="9"/>
        <rFont val="Arial"/>
        <family val="2"/>
      </rPr>
      <t>P</t>
    </r>
    <r>
      <rPr>
        <b/>
        <i/>
        <sz val="9"/>
        <rFont val="Arial"/>
        <family val="2"/>
      </rPr>
      <t xml:space="preserve"> = </t>
    </r>
  </si>
  <si>
    <r>
      <t xml:space="preserve">  X </t>
    </r>
    <r>
      <rPr>
        <b/>
        <i/>
        <vertAlign val="subscript"/>
        <sz val="8"/>
        <rFont val="Arial"/>
        <family val="2"/>
      </rPr>
      <t>DIFF</t>
    </r>
    <r>
      <rPr>
        <b/>
        <i/>
        <vertAlign val="subscript"/>
        <sz val="9"/>
        <rFont val="Arial"/>
        <family val="2"/>
      </rPr>
      <t xml:space="preserve"> </t>
    </r>
    <r>
      <rPr>
        <b/>
        <i/>
        <sz val="9"/>
        <rFont val="Arial"/>
        <family val="2"/>
      </rPr>
      <t>= X</t>
    </r>
    <r>
      <rPr>
        <b/>
        <i/>
        <vertAlign val="subscript"/>
        <sz val="8"/>
        <rFont val="Arial"/>
        <family val="2"/>
      </rPr>
      <t>MAX</t>
    </r>
    <r>
      <rPr>
        <b/>
        <i/>
        <sz val="9"/>
        <rFont val="Arial"/>
        <family val="2"/>
      </rPr>
      <t xml:space="preserve"> -  X</t>
    </r>
    <r>
      <rPr>
        <b/>
        <i/>
        <vertAlign val="subscript"/>
        <sz val="8"/>
        <rFont val="Arial"/>
        <family val="2"/>
      </rPr>
      <t>MIN</t>
    </r>
  </si>
  <si>
    <r>
      <t xml:space="preserve">  X </t>
    </r>
    <r>
      <rPr>
        <b/>
        <i/>
        <vertAlign val="subscript"/>
        <sz val="8"/>
        <rFont val="Arial"/>
        <family val="2"/>
      </rPr>
      <t>DIFF</t>
    </r>
    <r>
      <rPr>
        <b/>
        <i/>
        <vertAlign val="subscript"/>
        <sz val="9"/>
        <rFont val="Arial"/>
        <family val="2"/>
      </rPr>
      <t xml:space="preserve"> </t>
    </r>
    <r>
      <rPr>
        <b/>
        <i/>
        <sz val="9"/>
        <rFont val="Arial"/>
        <family val="2"/>
      </rPr>
      <t xml:space="preserve">= </t>
    </r>
  </si>
  <si>
    <r>
      <t xml:space="preserve">    R   = (  R</t>
    </r>
    <r>
      <rPr>
        <b/>
        <i/>
        <vertAlign val="subscript"/>
        <sz val="9"/>
        <rFont val="Arial"/>
        <family val="2"/>
      </rPr>
      <t>A</t>
    </r>
    <r>
      <rPr>
        <b/>
        <i/>
        <sz val="9"/>
        <rFont val="Arial"/>
        <family val="2"/>
      </rPr>
      <t xml:space="preserve"> + R</t>
    </r>
    <r>
      <rPr>
        <b/>
        <i/>
        <vertAlign val="subscript"/>
        <sz val="9"/>
        <rFont val="Arial"/>
        <family val="2"/>
      </rPr>
      <t>B</t>
    </r>
    <r>
      <rPr>
        <b/>
        <i/>
        <sz val="9"/>
        <rFont val="Arial"/>
        <family val="2"/>
      </rPr>
      <t xml:space="preserve"> + R</t>
    </r>
    <r>
      <rPr>
        <b/>
        <i/>
        <vertAlign val="subscript"/>
        <sz val="9"/>
        <rFont val="Arial"/>
        <family val="2"/>
      </rPr>
      <t>C</t>
    </r>
    <r>
      <rPr>
        <b/>
        <i/>
        <sz val="9"/>
        <rFont val="Arial"/>
        <family val="2"/>
      </rPr>
      <t xml:space="preserve">  ) / 3</t>
    </r>
  </si>
  <si>
    <t xml:space="preserve">    R   =</t>
  </si>
  <si>
    <t xml:space="preserve"> R × D4 = UCLR(Upper Control Limit)</t>
  </si>
  <si>
    <t>(D4 = 3.27 for 2 trials and 2.58 for 3 trials)</t>
  </si>
  <si>
    <t>D4 =</t>
  </si>
  <si>
    <r>
      <t>UCL</t>
    </r>
    <r>
      <rPr>
        <b/>
        <i/>
        <vertAlign val="subscript"/>
        <sz val="8"/>
        <rFont val="Arial"/>
        <family val="2"/>
      </rPr>
      <t>R</t>
    </r>
  </si>
  <si>
    <t>persons</t>
  </si>
  <si>
    <t>OPERATOR</t>
  </si>
  <si>
    <r>
      <t>K</t>
    </r>
    <r>
      <rPr>
        <b/>
        <vertAlign val="subscript"/>
        <sz val="9"/>
        <rFont val="Arial Narrow"/>
        <family val="2"/>
      </rPr>
      <t>2</t>
    </r>
  </si>
  <si>
    <t>TRIALS</t>
  </si>
  <si>
    <r>
      <t>K</t>
    </r>
    <r>
      <rPr>
        <b/>
        <vertAlign val="subscript"/>
        <sz val="9"/>
        <rFont val="Arial Narrow"/>
        <family val="2"/>
      </rPr>
      <t>1</t>
    </r>
  </si>
  <si>
    <r>
      <t>D</t>
    </r>
    <r>
      <rPr>
        <b/>
        <vertAlign val="subscript"/>
        <sz val="10"/>
        <rFont val="Arial Narrow"/>
        <family val="2"/>
      </rPr>
      <t>4</t>
    </r>
  </si>
  <si>
    <t>Trial #</t>
  </si>
  <si>
    <t>times  ( r )</t>
  </si>
  <si>
    <t>Sample #</t>
  </si>
  <si>
    <t>pieces ( n )</t>
  </si>
  <si>
    <t>PARTS</t>
  </si>
  <si>
    <r>
      <t>K</t>
    </r>
    <r>
      <rPr>
        <b/>
        <vertAlign val="subscript"/>
        <sz val="9"/>
        <rFont val="Arial Narrow"/>
        <family val="2"/>
      </rPr>
      <t>3</t>
    </r>
  </si>
  <si>
    <r>
      <t>UCL</t>
    </r>
    <r>
      <rPr>
        <vertAlign val="subscript"/>
        <sz val="8"/>
        <rFont val="Arial Narrow"/>
        <family val="2"/>
      </rPr>
      <t>R</t>
    </r>
    <r>
      <rPr>
        <sz val="8"/>
        <rFont val="Arial Narrow"/>
        <family val="2"/>
      </rPr>
      <t xml:space="preserve"> represents the limit for individual Range,  those ranges that are beyond this limit, identify the cause and correct, repeat those reading using the same operator and parts as originally used, Discard those reading and re-average and re-compile ranges and UCL from the remaining reading.</t>
    </r>
  </si>
  <si>
    <t>ANALISYS</t>
  </si>
  <si>
    <t>REPEATABILITY (EV)</t>
  </si>
  <si>
    <t>REPRODUCIBILITY (AV)</t>
  </si>
  <si>
    <t>R &amp; R</t>
  </si>
  <si>
    <t>PART VAREATION</t>
  </si>
  <si>
    <t>TOTAL VAREATION (TV)</t>
  </si>
  <si>
    <r>
      <t>EV=RxK</t>
    </r>
    <r>
      <rPr>
        <b/>
        <vertAlign val="subscript"/>
        <sz val="10"/>
        <rFont val="Book Antiqua"/>
        <family val="1"/>
      </rPr>
      <t>1</t>
    </r>
  </si>
  <si>
    <r>
      <t>AV=</t>
    </r>
    <r>
      <rPr>
        <sz val="18"/>
        <rFont val="Calibri"/>
        <family val="2"/>
      </rPr>
      <t>√</t>
    </r>
    <r>
      <rPr>
        <b/>
        <sz val="10"/>
        <rFont val="Book Antiqua"/>
        <family val="1"/>
      </rPr>
      <t>(X</t>
    </r>
    <r>
      <rPr>
        <b/>
        <vertAlign val="subscript"/>
        <sz val="10"/>
        <rFont val="Book Antiqua"/>
        <family val="1"/>
      </rPr>
      <t>diff</t>
    </r>
    <r>
      <rPr>
        <b/>
        <sz val="10"/>
        <rFont val="Book Antiqua"/>
        <family val="1"/>
      </rPr>
      <t>xK</t>
    </r>
    <r>
      <rPr>
        <b/>
        <vertAlign val="subscript"/>
        <sz val="10"/>
        <rFont val="Book Antiqua"/>
        <family val="1"/>
      </rPr>
      <t>2</t>
    </r>
    <r>
      <rPr>
        <b/>
        <sz val="10"/>
        <rFont val="Book Antiqua"/>
        <family val="1"/>
      </rPr>
      <t>)</t>
    </r>
    <r>
      <rPr>
        <b/>
        <vertAlign val="superscript"/>
        <sz val="10"/>
        <rFont val="Book Antiqua"/>
        <family val="1"/>
      </rPr>
      <t>2</t>
    </r>
    <r>
      <rPr>
        <b/>
        <sz val="10"/>
        <rFont val="Book Antiqua"/>
        <family val="1"/>
      </rPr>
      <t>-(EV</t>
    </r>
    <r>
      <rPr>
        <b/>
        <vertAlign val="superscript"/>
        <sz val="10"/>
        <rFont val="Book Antiqua"/>
        <family val="1"/>
      </rPr>
      <t>2</t>
    </r>
    <r>
      <rPr>
        <b/>
        <sz val="10"/>
        <rFont val="Book Antiqua"/>
        <family val="1"/>
      </rPr>
      <t>/nxr)</t>
    </r>
  </si>
  <si>
    <r>
      <t>R&amp;R=</t>
    </r>
    <r>
      <rPr>
        <sz val="18"/>
        <rFont val="Calibri"/>
        <family val="2"/>
      </rPr>
      <t>√</t>
    </r>
    <r>
      <rPr>
        <b/>
        <sz val="10"/>
        <rFont val="Book Antiqua"/>
        <family val="1"/>
      </rPr>
      <t>EV</t>
    </r>
    <r>
      <rPr>
        <b/>
        <vertAlign val="superscript"/>
        <sz val="10"/>
        <rFont val="Book Antiqua"/>
        <family val="1"/>
      </rPr>
      <t>2</t>
    </r>
    <r>
      <rPr>
        <b/>
        <sz val="10"/>
        <rFont val="Book Antiqua"/>
        <family val="1"/>
      </rPr>
      <t>+AV</t>
    </r>
    <r>
      <rPr>
        <b/>
        <vertAlign val="superscript"/>
        <sz val="10"/>
        <rFont val="Book Antiqua"/>
        <family val="1"/>
      </rPr>
      <t>2</t>
    </r>
  </si>
  <si>
    <r>
      <t>PV=R</t>
    </r>
    <r>
      <rPr>
        <b/>
        <vertAlign val="subscript"/>
        <sz val="10"/>
        <rFont val="Book Antiqua"/>
        <family val="1"/>
      </rPr>
      <t>p</t>
    </r>
    <r>
      <rPr>
        <b/>
        <sz val="10"/>
        <rFont val="Book Antiqua"/>
        <family val="1"/>
      </rPr>
      <t>xK</t>
    </r>
    <r>
      <rPr>
        <b/>
        <vertAlign val="subscript"/>
        <sz val="10"/>
        <rFont val="Book Antiqua"/>
        <family val="1"/>
      </rPr>
      <t>3</t>
    </r>
  </si>
  <si>
    <r>
      <t>TV=</t>
    </r>
    <r>
      <rPr>
        <sz val="18"/>
        <rFont val="Calibri"/>
        <family val="2"/>
      </rPr>
      <t>√</t>
    </r>
    <r>
      <rPr>
        <b/>
        <sz val="10"/>
        <rFont val="Calibri"/>
        <family val="2"/>
      </rPr>
      <t>R&amp;R</t>
    </r>
    <r>
      <rPr>
        <b/>
        <vertAlign val="superscript"/>
        <sz val="10"/>
        <rFont val="Calibri"/>
        <family val="2"/>
      </rPr>
      <t>2</t>
    </r>
    <r>
      <rPr>
        <b/>
        <sz val="10"/>
        <rFont val="Calibri"/>
        <family val="2"/>
      </rPr>
      <t>+PV</t>
    </r>
    <r>
      <rPr>
        <b/>
        <vertAlign val="superscript"/>
        <sz val="10"/>
        <rFont val="Calibri"/>
        <family val="2"/>
      </rPr>
      <t>2</t>
    </r>
  </si>
  <si>
    <t>EV=</t>
  </si>
  <si>
    <t>AV=</t>
  </si>
  <si>
    <t>R&amp;R=</t>
  </si>
  <si>
    <t>PV=</t>
  </si>
  <si>
    <t>TV=</t>
  </si>
  <si>
    <t>% VARIATION</t>
  </si>
  <si>
    <t>%EV=100*(EV/TV)</t>
  </si>
  <si>
    <t>%AV=100*(AV/TV)</t>
  </si>
  <si>
    <t>%R&amp;R=100*(R&amp;R/TV)</t>
  </si>
  <si>
    <t>%PV=100*(PV/TV)</t>
  </si>
  <si>
    <t>NDC=1.41*(PV/R&amp;R)</t>
  </si>
  <si>
    <t>%EV=</t>
  </si>
  <si>
    <t>%AV=</t>
  </si>
  <si>
    <t>%R&amp;R=</t>
  </si>
  <si>
    <t>%PV=</t>
  </si>
  <si>
    <t>NDC=</t>
  </si>
  <si>
    <t>% TOLERANCE</t>
  </si>
  <si>
    <t>%EV=100(EV/(UCL-LCL)/6)</t>
  </si>
  <si>
    <t>%AV=100(AV/(UCL-LCL)/6)</t>
  </si>
  <si>
    <t>%R&amp;R=100(R&amp;R/(UCL-LCL)/6)</t>
  </si>
  <si>
    <t>[Instruksi dari orang yang approved/menyetujui]</t>
  </si>
  <si>
    <t>[Referensi]</t>
  </si>
  <si>
    <t>Error</t>
  </si>
  <si>
    <t>Interpretasi</t>
  </si>
  <si>
    <t>Dibawah 10%</t>
  </si>
  <si>
    <t>Measurement system diterima</t>
  </si>
  <si>
    <t>Antara 10 - 30%</t>
  </si>
  <si>
    <t>Kemungkinan dapat diterima, tetapi penanggung jawab quality (Manager) harus mengetahui alasannya.</t>
  </si>
  <si>
    <t>Lebih dari 30%</t>
  </si>
  <si>
    <t>Perlu perbaikan, buat usaha yang dpt mengidentifikasi masalah, sehingga dapat diambil tindakan perbaikan.</t>
  </si>
  <si>
    <t>*Arahan untuk tindakan*</t>
  </si>
  <si>
    <t>(1) Reproducibility (AV) &gt; Repeatability (EV)</t>
  </si>
  <si>
    <t xml:space="preserve"> 1. Appraiser sudahkah  ditraining dalam handling dan  pembacaan measuring equipment</t>
  </si>
  <si>
    <t xml:space="preserve"> 2. Skala pada measuring equipment tidak akurat</t>
  </si>
  <si>
    <t>(2) Reproducibility (AV) &lt; Repeatability (EV)</t>
  </si>
  <si>
    <t xml:space="preserve"> 1. Measuring equipment perlu diinspeksi atau direpair.</t>
  </si>
  <si>
    <t>2. Metode set up / position perlu diperbaiki.</t>
  </si>
  <si>
    <t>Proses Check ID (Iner Diameter)</t>
  </si>
  <si>
    <t>Kiki</t>
  </si>
  <si>
    <t>Arjun</t>
  </si>
  <si>
    <t>M. Hujani</t>
  </si>
  <si>
    <t>PART NAME</t>
  </si>
  <si>
    <t>Hose Reserve Tank</t>
  </si>
  <si>
    <t>Caliper</t>
  </si>
  <si>
    <t>0-150 / 0.01 mm</t>
  </si>
  <si>
    <t>B17092619</t>
  </si>
  <si>
    <t>SSA-QC/INJ-F009 Rev.00</t>
  </si>
  <si>
    <t>TPM-F-QC-003 Rev.00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</si>
</sst>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0.0"/>
    <numFmt numFmtId="166" formatCode="0.000"/>
    <numFmt numFmtId="167" formatCode="0.0000"/>
    <numFmt numFmtId="168" formatCode="#,##0.000"/>
  </numFmts>
  <fonts count="36">
    <font>
      <sz val="11"/>
      <color theme="1"/>
      <name val="Calibri"/>
      <family val="2"/>
      <scheme val="minor"/>
    </font>
    <font>
      <sz val="11"/>
      <color theme="1"/>
      <name val="Calibri"/>
      <family val="2"/>
      <scheme val="minor"/>
    </font>
    <font>
      <b/>
      <sz val="14"/>
      <name val="Book Antiqua"/>
      <family val="1"/>
    </font>
    <font>
      <b/>
      <sz val="10"/>
      <name val="Revue-Thin"/>
    </font>
    <font>
      <b/>
      <sz val="10"/>
      <name val="Book Antiqua"/>
      <family val="1"/>
    </font>
    <font>
      <b/>
      <sz val="8"/>
      <color indexed="10"/>
      <name val="Comic Sans MS"/>
      <family val="4"/>
    </font>
    <font>
      <b/>
      <sz val="9"/>
      <name val="Book Antiqua"/>
      <family val="1"/>
    </font>
    <font>
      <sz val="10"/>
      <name val="Arial"/>
      <family val="2"/>
    </font>
    <font>
      <b/>
      <sz val="10"/>
      <name val="Arial Narrow"/>
      <family val="2"/>
    </font>
    <font>
      <b/>
      <sz val="9"/>
      <name val="Arial"/>
      <family val="2"/>
    </font>
    <font>
      <sz val="10"/>
      <name val="Calibri"/>
      <family val="2"/>
    </font>
    <font>
      <b/>
      <sz val="9"/>
      <name val="Arial Narrow"/>
      <family val="2"/>
    </font>
    <font>
      <b/>
      <sz val="8"/>
      <name val="Arial"/>
      <family val="2"/>
    </font>
    <font>
      <sz val="9"/>
      <name val="Arial Narrow"/>
      <family val="2"/>
    </font>
    <font>
      <sz val="9"/>
      <name val="Arial"/>
      <family val="2"/>
    </font>
    <font>
      <b/>
      <i/>
      <sz val="9"/>
      <name val="Arial"/>
      <family val="2"/>
    </font>
    <font>
      <b/>
      <i/>
      <vertAlign val="subscript"/>
      <sz val="9"/>
      <name val="Arial"/>
      <family val="2"/>
    </font>
    <font>
      <b/>
      <i/>
      <sz val="8"/>
      <name val="Arial"/>
      <family val="2"/>
    </font>
    <font>
      <b/>
      <i/>
      <vertAlign val="subscript"/>
      <sz val="8"/>
      <name val="Arial"/>
      <family val="2"/>
    </font>
    <font>
      <sz val="11"/>
      <name val="ＭＳ Ｐゴシック"/>
      <family val="3"/>
      <charset val="128"/>
    </font>
    <font>
      <sz val="11"/>
      <name val="Arial"/>
      <family val="2"/>
    </font>
    <font>
      <b/>
      <vertAlign val="subscript"/>
      <sz val="9"/>
      <name val="Arial Narrow"/>
      <family val="2"/>
    </font>
    <font>
      <b/>
      <vertAlign val="subscript"/>
      <sz val="10"/>
      <name val="Arial Narrow"/>
      <family val="2"/>
    </font>
    <font>
      <sz val="10"/>
      <name val="Arial Narrow"/>
      <family val="2"/>
    </font>
    <font>
      <b/>
      <sz val="6"/>
      <name val="Book Antiqua"/>
      <family val="1"/>
    </font>
    <font>
      <sz val="8"/>
      <name val="Arial Narrow"/>
      <family val="2"/>
    </font>
    <font>
      <vertAlign val="subscript"/>
      <sz val="8"/>
      <name val="Arial Narrow"/>
      <family val="2"/>
    </font>
    <font>
      <b/>
      <vertAlign val="subscript"/>
      <sz val="10"/>
      <name val="Book Antiqua"/>
      <family val="1"/>
    </font>
    <font>
      <sz val="18"/>
      <name val="Calibri"/>
      <family val="2"/>
    </font>
    <font>
      <b/>
      <vertAlign val="superscript"/>
      <sz val="10"/>
      <name val="Book Antiqua"/>
      <family val="1"/>
    </font>
    <font>
      <b/>
      <sz val="10"/>
      <name val="Calibri"/>
      <family val="2"/>
    </font>
    <font>
      <b/>
      <vertAlign val="superscript"/>
      <sz val="10"/>
      <name val="Calibri"/>
      <family val="2"/>
    </font>
    <font>
      <b/>
      <sz val="11"/>
      <name val="Arial"/>
      <family val="2"/>
    </font>
    <font>
      <sz val="11"/>
      <color indexed="12"/>
      <name val="Arial"/>
      <family val="2"/>
    </font>
    <font>
      <sz val="9.5"/>
      <name val="Arial"/>
      <family val="2"/>
    </font>
    <font>
      <b/>
      <sz val="10"/>
      <name val="Arial"/>
      <family val="2"/>
    </font>
  </fonts>
  <fills count="6">
    <fill>
      <patternFill patternType="none"/>
    </fill>
    <fill>
      <patternFill patternType="gray125"/>
    </fill>
    <fill>
      <patternFill patternType="solid">
        <fgColor rgb="FFFFFF99"/>
        <bgColor indexed="64"/>
      </patternFill>
    </fill>
    <fill>
      <patternFill patternType="solid">
        <fgColor theme="0"/>
        <bgColor indexed="64"/>
      </patternFill>
    </fill>
    <fill>
      <patternFill patternType="solid">
        <fgColor theme="8" tint="0.79998168889431442"/>
        <bgColor indexed="64"/>
      </patternFill>
    </fill>
    <fill>
      <patternFill patternType="solid">
        <fgColor indexed="43"/>
        <bgColor indexed="64"/>
      </patternFill>
    </fill>
  </fills>
  <borders count="86">
    <border>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right style="double">
        <color indexed="64"/>
      </right>
      <top/>
      <bottom/>
      <diagonal/>
    </border>
    <border>
      <left style="double">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double">
        <color indexed="64"/>
      </right>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double">
        <color indexed="64"/>
      </top>
      <bottom style="hair">
        <color indexed="64"/>
      </bottom>
      <diagonal/>
    </border>
    <border>
      <left/>
      <right style="thin">
        <color indexed="64"/>
      </right>
      <top style="double">
        <color indexed="64"/>
      </top>
      <bottom style="hair">
        <color indexed="64"/>
      </bottom>
      <diagonal/>
    </border>
    <border>
      <left/>
      <right/>
      <top style="double">
        <color indexed="64"/>
      </top>
      <bottom/>
      <diagonal/>
    </border>
    <border>
      <left/>
      <right style="double">
        <color indexed="64"/>
      </right>
      <top style="double">
        <color indexed="64"/>
      </top>
      <bottom/>
      <diagonal/>
    </border>
    <border>
      <left/>
      <right style="thin">
        <color indexed="64"/>
      </right>
      <top style="hair">
        <color indexed="64"/>
      </top>
      <bottom style="hair">
        <color indexed="64"/>
      </bottom>
      <diagonal/>
    </border>
    <border>
      <left style="double">
        <color indexed="64"/>
      </left>
      <right/>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style="thin">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right style="thin">
        <color indexed="64"/>
      </right>
      <top style="double">
        <color indexed="64"/>
      </top>
      <bottom style="double">
        <color indexed="64"/>
      </bottom>
      <diagonal/>
    </border>
    <border>
      <left style="double">
        <color indexed="64"/>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style="double">
        <color indexed="64"/>
      </left>
      <right/>
      <top style="double">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double">
        <color indexed="64"/>
      </left>
      <right/>
      <top/>
      <bottom style="double">
        <color indexed="64"/>
      </bottom>
      <diagonal/>
    </border>
    <border>
      <left/>
      <right style="thin">
        <color indexed="64"/>
      </right>
      <top style="thin">
        <color indexed="64"/>
      </top>
      <bottom/>
      <diagonal/>
    </border>
    <border>
      <left/>
      <right style="double">
        <color indexed="64"/>
      </right>
      <top style="thin">
        <color indexed="64"/>
      </top>
      <bottom/>
      <diagonal/>
    </border>
    <border>
      <left style="double">
        <color indexed="64"/>
      </left>
      <right style="thin">
        <color indexed="64"/>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bottom style="thin">
        <color indexed="64"/>
      </bottom>
      <diagonal/>
    </border>
  </borders>
  <cellStyleXfs count="7">
    <xf numFmtId="0" fontId="0" fillId="0" borderId="0"/>
    <xf numFmtId="9" fontId="1" fillId="0" borderId="0" applyFont="0" applyFill="0" applyBorder="0" applyAlignment="0" applyProtection="0"/>
    <xf numFmtId="0" fontId="7" fillId="0" borderId="0"/>
    <xf numFmtId="0" fontId="10" fillId="0" borderId="0"/>
    <xf numFmtId="0" fontId="19" fillId="0" borderId="0"/>
    <xf numFmtId="0" fontId="7" fillId="0" borderId="0"/>
    <xf numFmtId="0" fontId="19" fillId="0" borderId="0"/>
  </cellStyleXfs>
  <cellXfs count="263">
    <xf numFmtId="0" fontId="0" fillId="0" borderId="0" xfId="0"/>
    <xf numFmtId="0" fontId="4" fillId="0" borderId="0" xfId="0" applyFont="1"/>
    <xf numFmtId="0" fontId="4" fillId="0" borderId="1" xfId="0" applyFont="1" applyBorder="1"/>
    <xf numFmtId="0" fontId="4" fillId="0" borderId="5" xfId="2" applyFont="1" applyBorder="1"/>
    <xf numFmtId="0" fontId="4" fillId="0" borderId="6" xfId="2" applyFont="1" applyBorder="1"/>
    <xf numFmtId="0" fontId="4" fillId="0" borderId="7" xfId="2" applyFont="1" applyBorder="1"/>
    <xf numFmtId="0" fontId="4" fillId="0" borderId="10" xfId="2" applyFont="1" applyBorder="1"/>
    <xf numFmtId="0" fontId="4" fillId="0" borderId="11" xfId="2" applyFont="1" applyBorder="1"/>
    <xf numFmtId="0" fontId="4" fillId="0" borderId="12" xfId="2" applyFont="1" applyBorder="1"/>
    <xf numFmtId="0" fontId="4" fillId="2" borderId="11" xfId="2" applyFont="1" applyFill="1" applyBorder="1"/>
    <xf numFmtId="0" fontId="4" fillId="2" borderId="11" xfId="2" quotePrefix="1" applyFont="1" applyFill="1" applyBorder="1" applyAlignment="1">
      <alignment horizontal="center"/>
    </xf>
    <xf numFmtId="0" fontId="4" fillId="2" borderId="11" xfId="2" applyFont="1" applyFill="1" applyBorder="1" applyAlignment="1">
      <alignment horizontal="center"/>
    </xf>
    <xf numFmtId="0" fontId="4" fillId="2" borderId="12" xfId="2" applyFont="1" applyFill="1" applyBorder="1" applyAlignment="1">
      <alignment horizontal="center"/>
    </xf>
    <xf numFmtId="0" fontId="4" fillId="0" borderId="13" xfId="0" applyFont="1" applyBorder="1"/>
    <xf numFmtId="0" fontId="4" fillId="0" borderId="14" xfId="0" applyFont="1" applyBorder="1"/>
    <xf numFmtId="0" fontId="4" fillId="2" borderId="12" xfId="2" applyFont="1" applyFill="1" applyBorder="1"/>
    <xf numFmtId="0" fontId="4" fillId="2" borderId="0" xfId="2" applyFont="1" applyFill="1"/>
    <xf numFmtId="0" fontId="4" fillId="2" borderId="15" xfId="2" applyFont="1" applyFill="1" applyBorder="1"/>
    <xf numFmtId="0" fontId="4" fillId="2" borderId="16" xfId="2" applyFont="1" applyFill="1" applyBorder="1"/>
    <xf numFmtId="0" fontId="6" fillId="0" borderId="11" xfId="2" applyFont="1" applyBorder="1"/>
    <xf numFmtId="0" fontId="6" fillId="0" borderId="12" xfId="2" applyFont="1" applyBorder="1"/>
    <xf numFmtId="0" fontId="6" fillId="0" borderId="10" xfId="0" applyFont="1" applyBorder="1" applyAlignment="1">
      <alignment vertical="center"/>
    </xf>
    <xf numFmtId="0" fontId="6" fillId="0" borderId="11" xfId="0" applyFont="1" applyBorder="1" applyAlignment="1">
      <alignment vertical="center"/>
    </xf>
    <xf numFmtId="0" fontId="6" fillId="0" borderId="12" xfId="0" applyFont="1" applyBorder="1" applyAlignment="1">
      <alignment vertical="center"/>
    </xf>
    <xf numFmtId="0" fontId="4" fillId="2" borderId="17" xfId="0" applyFont="1" applyFill="1" applyBorder="1" applyAlignment="1">
      <alignment horizontal="left" vertical="center"/>
    </xf>
    <xf numFmtId="165" fontId="4" fillId="2" borderId="18" xfId="0" applyNumberFormat="1" applyFont="1" applyFill="1" applyBorder="1" applyAlignment="1">
      <alignment horizontal="center" vertical="center"/>
    </xf>
    <xf numFmtId="0" fontId="6" fillId="0" borderId="18" xfId="0" applyFont="1" applyBorder="1"/>
    <xf numFmtId="0" fontId="6" fillId="0" borderId="19" xfId="0" applyFont="1" applyBorder="1"/>
    <xf numFmtId="0" fontId="4" fillId="0" borderId="20" xfId="0" applyFont="1" applyBorder="1"/>
    <xf numFmtId="0" fontId="4" fillId="0" borderId="21" xfId="0" applyFont="1" applyBorder="1"/>
    <xf numFmtId="0" fontId="6" fillId="0" borderId="22" xfId="0" applyFont="1" applyBorder="1"/>
    <xf numFmtId="165" fontId="6" fillId="3" borderId="23" xfId="0" applyNumberFormat="1" applyFont="1" applyFill="1" applyBorder="1" applyAlignment="1">
      <alignment horizontal="left"/>
    </xf>
    <xf numFmtId="0" fontId="6" fillId="0" borderId="23" xfId="0" applyFont="1" applyBorder="1" applyAlignment="1">
      <alignment horizontal="right"/>
    </xf>
    <xf numFmtId="2" fontId="6" fillId="0" borderId="23" xfId="0" applyNumberFormat="1" applyFont="1" applyBorder="1" applyAlignment="1">
      <alignment horizontal="left"/>
    </xf>
    <xf numFmtId="0" fontId="6" fillId="0" borderId="23" xfId="0" applyFont="1" applyBorder="1" applyAlignment="1">
      <alignment horizontal="left"/>
    </xf>
    <xf numFmtId="0" fontId="4" fillId="0" borderId="24" xfId="0" applyFont="1" applyBorder="1"/>
    <xf numFmtId="0" fontId="11" fillId="4" borderId="34" xfId="3" applyFont="1" applyFill="1" applyBorder="1" applyAlignment="1">
      <alignment horizontal="center"/>
    </xf>
    <xf numFmtId="0" fontId="9" fillId="0" borderId="37" xfId="0" applyFont="1" applyBorder="1" applyAlignment="1">
      <alignment horizontal="center"/>
    </xf>
    <xf numFmtId="2" fontId="13" fillId="2" borderId="37" xfId="3" applyNumberFormat="1" applyFont="1" applyFill="1" applyBorder="1" applyAlignment="1">
      <alignment horizontal="center"/>
    </xf>
    <xf numFmtId="166" fontId="14" fillId="0" borderId="37" xfId="0" applyNumberFormat="1" applyFont="1" applyBorder="1" applyAlignment="1">
      <alignment horizontal="center" vertical="center"/>
    </xf>
    <xf numFmtId="0" fontId="15" fillId="0" borderId="0" xfId="0" applyFont="1"/>
    <xf numFmtId="0" fontId="14" fillId="0" borderId="38" xfId="0" applyFont="1" applyBorder="1"/>
    <xf numFmtId="0" fontId="9" fillId="0" borderId="40" xfId="0" applyFont="1" applyBorder="1" applyAlignment="1">
      <alignment horizontal="center"/>
    </xf>
    <xf numFmtId="166" fontId="14" fillId="0" borderId="40" xfId="0" applyNumberFormat="1" applyFont="1" applyBorder="1" applyAlignment="1">
      <alignment horizontal="center" vertical="center"/>
    </xf>
    <xf numFmtId="0" fontId="9" fillId="0" borderId="42" xfId="0" applyFont="1" applyBorder="1" applyAlignment="1">
      <alignment horizontal="center"/>
    </xf>
    <xf numFmtId="166" fontId="14" fillId="0" borderId="42" xfId="0" applyNumberFormat="1" applyFont="1" applyBorder="1" applyAlignment="1">
      <alignment horizontal="center" vertical="center"/>
    </xf>
    <xf numFmtId="0" fontId="14" fillId="0" borderId="43" xfId="0" applyFont="1" applyBorder="1"/>
    <xf numFmtId="0" fontId="14" fillId="0" borderId="44" xfId="0" applyFont="1" applyBorder="1"/>
    <xf numFmtId="0" fontId="12" fillId="5" borderId="45" xfId="0" applyFont="1" applyFill="1" applyBorder="1" applyAlignment="1">
      <alignment horizontal="center" vertical="center" textRotation="90" wrapText="1"/>
    </xf>
    <xf numFmtId="0" fontId="9" fillId="0" borderId="46" xfId="0" applyFont="1" applyBorder="1"/>
    <xf numFmtId="2" fontId="14" fillId="0" borderId="46" xfId="0" applyNumberFormat="1" applyFont="1" applyBorder="1" applyAlignment="1">
      <alignment horizontal="center" vertical="center"/>
    </xf>
    <xf numFmtId="0" fontId="15" fillId="0" borderId="47" xfId="0" applyFont="1" applyBorder="1" applyAlignment="1">
      <alignment horizontal="center" vertical="center"/>
    </xf>
    <xf numFmtId="0" fontId="9" fillId="0" borderId="49" xfId="0" applyFont="1" applyBorder="1" applyAlignment="1">
      <alignment horizontal="center"/>
    </xf>
    <xf numFmtId="166" fontId="14" fillId="0" borderId="50" xfId="0" applyNumberFormat="1" applyFont="1" applyBorder="1" applyAlignment="1">
      <alignment horizontal="center" vertical="center"/>
    </xf>
    <xf numFmtId="0" fontId="15" fillId="0" borderId="51" xfId="0" applyFont="1" applyBorder="1"/>
    <xf numFmtId="0" fontId="0" fillId="0" borderId="52" xfId="0" applyBorder="1"/>
    <xf numFmtId="166" fontId="14" fillId="0" borderId="53" xfId="0" applyNumberFormat="1" applyFont="1" applyBorder="1" applyAlignment="1">
      <alignment horizontal="center" vertical="center"/>
    </xf>
    <xf numFmtId="0" fontId="0" fillId="0" borderId="43" xfId="0" applyBorder="1"/>
    <xf numFmtId="0" fontId="0" fillId="0" borderId="44" xfId="0" applyBorder="1"/>
    <xf numFmtId="0" fontId="0" fillId="0" borderId="38" xfId="0" applyBorder="1"/>
    <xf numFmtId="2" fontId="14" fillId="0" borderId="46" xfId="0" applyNumberFormat="1" applyFont="1" applyBorder="1" applyAlignment="1">
      <alignment horizontal="center"/>
    </xf>
    <xf numFmtId="0" fontId="15" fillId="0" borderId="47" xfId="0" applyFont="1" applyBorder="1" applyAlignment="1">
      <alignment horizontal="center"/>
    </xf>
    <xf numFmtId="2" fontId="14" fillId="0" borderId="16" xfId="0" applyNumberFormat="1" applyFont="1" applyBorder="1" applyAlignment="1">
      <alignment horizontal="center" vertical="center"/>
    </xf>
    <xf numFmtId="0" fontId="15" fillId="0" borderId="51" xfId="0" applyFont="1" applyBorder="1" applyAlignment="1">
      <alignment horizontal="center" vertical="center"/>
    </xf>
    <xf numFmtId="0" fontId="15" fillId="0" borderId="55" xfId="0" applyFont="1" applyBorder="1" applyAlignment="1">
      <alignment horizontal="left"/>
    </xf>
    <xf numFmtId="0" fontId="14" fillId="0" borderId="56" xfId="0" applyFont="1" applyBorder="1"/>
    <xf numFmtId="2" fontId="14" fillId="0" borderId="56" xfId="0" applyNumberFormat="1" applyFont="1" applyBorder="1" applyAlignment="1">
      <alignment horizontal="center" vertical="center"/>
    </xf>
    <xf numFmtId="0" fontId="15" fillId="0" borderId="57" xfId="0" applyFont="1" applyBorder="1" applyAlignment="1">
      <alignment horizontal="left"/>
    </xf>
    <xf numFmtId="0" fontId="15" fillId="0" borderId="55" xfId="0" applyFont="1" applyBorder="1"/>
    <xf numFmtId="2" fontId="14" fillId="0" borderId="59" xfId="0" applyNumberFormat="1" applyFont="1" applyBorder="1" applyAlignment="1">
      <alignment horizontal="center" vertical="center"/>
    </xf>
    <xf numFmtId="0" fontId="15" fillId="0" borderId="56" xfId="0" applyFont="1" applyBorder="1"/>
    <xf numFmtId="0" fontId="1" fillId="0" borderId="55" xfId="4" applyFont="1" applyBorder="1" applyAlignment="1">
      <alignment horizontal="left"/>
    </xf>
    <xf numFmtId="0" fontId="12" fillId="0" borderId="56" xfId="0" applyFont="1" applyBorder="1" applyAlignment="1">
      <alignment horizontal="center" vertical="center" wrapText="1"/>
    </xf>
    <xf numFmtId="2" fontId="14" fillId="0" borderId="56" xfId="0" applyNumberFormat="1" applyFont="1" applyBorder="1" applyAlignment="1">
      <alignment horizontal="left"/>
    </xf>
    <xf numFmtId="0" fontId="19" fillId="0" borderId="56" xfId="4" applyBorder="1" applyAlignment="1">
      <alignment horizontal="right"/>
    </xf>
    <xf numFmtId="0" fontId="20" fillId="0" borderId="56" xfId="4" applyFont="1" applyBorder="1" applyAlignment="1">
      <alignment horizontal="left"/>
    </xf>
    <xf numFmtId="0" fontId="15" fillId="0" borderId="56" xfId="0" applyFont="1" applyBorder="1" applyAlignment="1">
      <alignment horizontal="center"/>
    </xf>
    <xf numFmtId="0" fontId="20" fillId="0" borderId="30" xfId="4" applyFont="1" applyBorder="1" applyProtection="1">
      <protection locked="0"/>
    </xf>
    <xf numFmtId="0" fontId="11" fillId="4" borderId="27" xfId="5" applyFont="1" applyFill="1" applyBorder="1" applyAlignment="1">
      <alignment horizontal="center"/>
    </xf>
    <xf numFmtId="0" fontId="8" fillId="4" borderId="27" xfId="0" applyFont="1" applyFill="1" applyBorder="1" applyAlignment="1">
      <alignment horizontal="center"/>
    </xf>
    <xf numFmtId="0" fontId="8" fillId="4" borderId="61" xfId="0" applyFont="1" applyFill="1" applyBorder="1" applyAlignment="1">
      <alignment horizontal="center"/>
    </xf>
    <xf numFmtId="0" fontId="20" fillId="0" borderId="34" xfId="4" applyFont="1" applyBorder="1" applyProtection="1">
      <protection locked="0"/>
    </xf>
    <xf numFmtId="0" fontId="13" fillId="0" borderId="17" xfId="5" applyFont="1" applyBorder="1" applyAlignment="1">
      <alignment horizontal="center"/>
    </xf>
    <xf numFmtId="0" fontId="23" fillId="0" borderId="17" xfId="0" applyFont="1" applyBorder="1" applyAlignment="1">
      <alignment horizontal="center"/>
    </xf>
    <xf numFmtId="0" fontId="23" fillId="0" borderId="64" xfId="0" applyFont="1" applyBorder="1" applyAlignment="1">
      <alignment horizontal="center"/>
    </xf>
    <xf numFmtId="0" fontId="20" fillId="0" borderId="68" xfId="4" applyFont="1" applyBorder="1" applyProtection="1">
      <protection locked="0"/>
    </xf>
    <xf numFmtId="0" fontId="13" fillId="0" borderId="70" xfId="5" applyFont="1" applyBorder="1" applyAlignment="1">
      <alignment horizontal="center"/>
    </xf>
    <xf numFmtId="0" fontId="23" fillId="0" borderId="70" xfId="0" applyFont="1" applyBorder="1" applyAlignment="1">
      <alignment horizontal="center"/>
    </xf>
    <xf numFmtId="0" fontId="23" fillId="0" borderId="71" xfId="0" applyFont="1" applyBorder="1" applyAlignment="1">
      <alignment horizontal="center"/>
    </xf>
    <xf numFmtId="0" fontId="11" fillId="4" borderId="30" xfId="5" applyFont="1" applyFill="1" applyBorder="1" applyAlignment="1">
      <alignment horizontal="center"/>
    </xf>
    <xf numFmtId="0" fontId="11" fillId="4" borderId="30" xfId="5" quotePrefix="1" applyFont="1" applyFill="1" applyBorder="1" applyAlignment="1">
      <alignment horizontal="center"/>
    </xf>
    <xf numFmtId="0" fontId="24" fillId="0" borderId="73" xfId="0" applyFont="1" applyBorder="1" applyAlignment="1">
      <alignment horizontal="left" vertical="top"/>
    </xf>
    <xf numFmtId="0" fontId="24" fillId="0" borderId="51" xfId="0" applyFont="1" applyBorder="1" applyAlignment="1">
      <alignment horizontal="left" vertical="top"/>
    </xf>
    <xf numFmtId="0" fontId="24" fillId="0" borderId="52" xfId="0" applyFont="1" applyBorder="1" applyAlignment="1">
      <alignment horizontal="left" vertical="top"/>
    </xf>
    <xf numFmtId="2" fontId="13" fillId="0" borderId="74" xfId="5" quotePrefix="1" applyNumberFormat="1" applyFont="1" applyBorder="1" applyAlignment="1">
      <alignment horizontal="center"/>
    </xf>
    <xf numFmtId="2" fontId="13" fillId="0" borderId="74" xfId="5" applyNumberFormat="1" applyFont="1" applyBorder="1" applyAlignment="1">
      <alignment horizontal="center"/>
    </xf>
    <xf numFmtId="2" fontId="13" fillId="0" borderId="75" xfId="5" applyNumberFormat="1" applyFont="1" applyBorder="1" applyAlignment="1">
      <alignment horizontal="center"/>
    </xf>
    <xf numFmtId="0" fontId="24" fillId="0" borderId="76" xfId="0" applyFont="1" applyBorder="1" applyAlignment="1">
      <alignment horizontal="left" vertical="top"/>
    </xf>
    <xf numFmtId="0" fontId="24" fillId="0" borderId="47" xfId="0" applyFont="1" applyBorder="1" applyAlignment="1">
      <alignment horizontal="left" vertical="top"/>
    </xf>
    <xf numFmtId="0" fontId="24" fillId="0" borderId="48" xfId="0" applyFont="1" applyBorder="1" applyAlignment="1">
      <alignment horizontal="left" vertical="top"/>
    </xf>
    <xf numFmtId="0" fontId="4" fillId="0" borderId="47" xfId="0" applyFont="1" applyBorder="1"/>
    <xf numFmtId="166" fontId="4" fillId="0" borderId="80" xfId="0" applyNumberFormat="1" applyFont="1" applyBorder="1" applyAlignment="1">
      <alignment horizontal="left"/>
    </xf>
    <xf numFmtId="0" fontId="4" fillId="0" borderId="81" xfId="0" applyFont="1" applyBorder="1"/>
    <xf numFmtId="168" fontId="4" fillId="0" borderId="47" xfId="0" applyNumberFormat="1" applyFont="1" applyBorder="1" applyAlignment="1">
      <alignment horizontal="left"/>
    </xf>
    <xf numFmtId="0" fontId="4" fillId="0" borderId="80" xfId="0" applyFont="1" applyBorder="1"/>
    <xf numFmtId="166" fontId="4" fillId="0" borderId="47" xfId="0" applyNumberFormat="1" applyFont="1" applyBorder="1" applyAlignment="1">
      <alignment horizontal="left"/>
    </xf>
    <xf numFmtId="0" fontId="24" fillId="0" borderId="80" xfId="0" applyFont="1" applyBorder="1" applyAlignment="1">
      <alignment horizontal="left" vertical="top"/>
    </xf>
    <xf numFmtId="0" fontId="4" fillId="0" borderId="47" xfId="0" applyFont="1" applyBorder="1" applyAlignment="1">
      <alignment horizontal="left"/>
    </xf>
    <xf numFmtId="10" fontId="4" fillId="0" borderId="80" xfId="1" applyNumberFormat="1" applyFont="1" applyFill="1" applyBorder="1" applyAlignment="1">
      <alignment horizontal="left"/>
    </xf>
    <xf numFmtId="10" fontId="4" fillId="0" borderId="47" xfId="1" applyNumberFormat="1" applyFont="1" applyFill="1" applyBorder="1" applyAlignment="1">
      <alignment horizontal="left"/>
    </xf>
    <xf numFmtId="2" fontId="4" fillId="0" borderId="47" xfId="1" applyNumberFormat="1" applyFont="1" applyFill="1" applyBorder="1" applyAlignment="1">
      <alignment horizontal="left"/>
    </xf>
    <xf numFmtId="0" fontId="4" fillId="0" borderId="82" xfId="0" applyFont="1" applyBorder="1" applyAlignment="1">
      <alignment wrapText="1"/>
    </xf>
    <xf numFmtId="0" fontId="4" fillId="0" borderId="51" xfId="0" applyFont="1" applyBorder="1" applyAlignment="1">
      <alignment wrapText="1"/>
    </xf>
    <xf numFmtId="0" fontId="4" fillId="0" borderId="83" xfId="0" applyFont="1" applyBorder="1" applyAlignment="1">
      <alignment wrapText="1"/>
    </xf>
    <xf numFmtId="0" fontId="24" fillId="0" borderId="41" xfId="0" applyFont="1" applyBorder="1" applyAlignment="1">
      <alignment vertical="top"/>
    </xf>
    <xf numFmtId="0" fontId="24" fillId="0" borderId="0" xfId="0" applyFont="1" applyAlignment="1">
      <alignment vertical="top"/>
    </xf>
    <xf numFmtId="0" fontId="24" fillId="0" borderId="38" xfId="0" applyFont="1" applyBorder="1" applyAlignment="1">
      <alignment vertical="top"/>
    </xf>
    <xf numFmtId="10" fontId="4" fillId="0" borderId="80" xfId="1" applyNumberFormat="1" applyFont="1" applyFill="1" applyBorder="1"/>
    <xf numFmtId="10" fontId="4" fillId="0" borderId="47" xfId="1" applyNumberFormat="1" applyFont="1" applyFill="1" applyBorder="1"/>
    <xf numFmtId="0" fontId="24" fillId="0" borderId="81" xfId="0" applyFont="1" applyBorder="1" applyAlignment="1">
      <alignment horizontal="left" vertical="top"/>
    </xf>
    <xf numFmtId="0" fontId="20" fillId="0" borderId="73" xfId="6" applyFont="1" applyBorder="1"/>
    <xf numFmtId="0" fontId="20" fillId="0" borderId="51" xfId="6" applyFont="1" applyBorder="1"/>
    <xf numFmtId="0" fontId="32" fillId="0" borderId="51" xfId="6" applyFont="1" applyBorder="1"/>
    <xf numFmtId="0" fontId="20" fillId="0" borderId="52" xfId="6" applyFont="1" applyBorder="1"/>
    <xf numFmtId="0" fontId="33" fillId="0" borderId="54" xfId="6" applyFont="1" applyBorder="1" applyProtection="1">
      <protection locked="0"/>
    </xf>
    <xf numFmtId="0" fontId="33" fillId="0" borderId="0" xfId="6" applyFont="1" applyProtection="1">
      <protection locked="0"/>
    </xf>
    <xf numFmtId="0" fontId="7" fillId="0" borderId="0" xfId="6" applyFont="1" applyProtection="1">
      <protection locked="0"/>
    </xf>
    <xf numFmtId="0" fontId="7" fillId="0" borderId="38" xfId="6" applyFont="1" applyBorder="1" applyProtection="1">
      <protection locked="0"/>
    </xf>
    <xf numFmtId="0" fontId="33" fillId="0" borderId="76" xfId="6" applyFont="1" applyBorder="1" applyProtection="1">
      <protection locked="0"/>
    </xf>
    <xf numFmtId="0" fontId="33" fillId="0" borderId="47" xfId="6" applyFont="1" applyBorder="1" applyProtection="1">
      <protection locked="0"/>
    </xf>
    <xf numFmtId="0" fontId="20" fillId="0" borderId="47" xfId="6" applyFont="1" applyBorder="1" applyProtection="1">
      <protection locked="0"/>
    </xf>
    <xf numFmtId="0" fontId="20" fillId="0" borderId="48" xfId="6" applyFont="1" applyBorder="1" applyProtection="1">
      <protection locked="0"/>
    </xf>
    <xf numFmtId="164" fontId="4" fillId="2" borderId="11" xfId="2" applyNumberFormat="1" applyFont="1" applyFill="1" applyBorder="1" applyAlignment="1">
      <alignment horizontal="left"/>
    </xf>
    <xf numFmtId="0" fontId="4" fillId="0" borderId="13" xfId="0" applyFont="1" applyBorder="1" applyAlignment="1">
      <alignment horizontal="center"/>
    </xf>
    <xf numFmtId="0" fontId="4" fillId="0" borderId="14" xfId="0" applyFont="1" applyBorder="1" applyAlignment="1">
      <alignment horizontal="center"/>
    </xf>
    <xf numFmtId="0" fontId="4" fillId="0" borderId="0" xfId="0" applyFont="1" applyAlignment="1">
      <alignment horizontal="center"/>
    </xf>
    <xf numFmtId="0" fontId="1" fillId="0" borderId="84" xfId="6" applyFont="1" applyBorder="1" applyAlignment="1">
      <alignment horizontal="left" vertical="center"/>
    </xf>
    <xf numFmtId="0" fontId="7" fillId="0" borderId="34" xfId="6" applyFont="1" applyBorder="1" applyAlignment="1">
      <alignment horizontal="left" vertical="center"/>
    </xf>
    <xf numFmtId="0" fontId="7" fillId="0" borderId="35" xfId="6" applyFont="1" applyBorder="1" applyAlignment="1">
      <alignment horizontal="left" vertical="center"/>
    </xf>
    <xf numFmtId="0" fontId="1" fillId="0" borderId="45" xfId="6" applyFont="1" applyBorder="1" applyAlignment="1">
      <alignment horizontal="left" vertical="center"/>
    </xf>
    <xf numFmtId="0" fontId="7" fillId="0" borderId="68" xfId="6" applyFont="1" applyBorder="1" applyAlignment="1">
      <alignment horizontal="left" vertical="center"/>
    </xf>
    <xf numFmtId="0" fontId="7" fillId="0" borderId="69" xfId="6" applyFont="1" applyBorder="1" applyAlignment="1">
      <alignment horizontal="left" vertical="center"/>
    </xf>
    <xf numFmtId="0" fontId="35" fillId="0" borderId="32" xfId="6" applyFont="1" applyBorder="1" applyAlignment="1">
      <alignment horizontal="left" vertical="center"/>
    </xf>
    <xf numFmtId="0" fontId="35" fillId="0" borderId="33" xfId="6" applyFont="1" applyBorder="1" applyAlignment="1">
      <alignment horizontal="left" vertical="center"/>
    </xf>
    <xf numFmtId="0" fontId="35" fillId="0" borderId="85" xfId="6" applyFont="1" applyBorder="1" applyAlignment="1">
      <alignment horizontal="left" vertical="center"/>
    </xf>
    <xf numFmtId="0" fontId="7" fillId="0" borderId="0" xfId="6" applyFont="1" applyAlignment="1" applyProtection="1">
      <alignment horizontal="center" vertical="center"/>
      <protection locked="0"/>
    </xf>
    <xf numFmtId="0" fontId="7" fillId="0" borderId="38" xfId="6" applyFont="1" applyBorder="1" applyAlignment="1" applyProtection="1">
      <alignment horizontal="center" vertical="center"/>
      <protection locked="0"/>
    </xf>
    <xf numFmtId="0" fontId="7" fillId="4" borderId="84" xfId="6" applyFont="1" applyFill="1" applyBorder="1" applyAlignment="1">
      <alignment horizontal="left" vertical="center"/>
    </xf>
    <xf numFmtId="0" fontId="7" fillId="4" borderId="34" xfId="6" applyFont="1" applyFill="1" applyBorder="1" applyAlignment="1">
      <alignment horizontal="left" vertical="center"/>
    </xf>
    <xf numFmtId="0" fontId="7" fillId="4" borderId="35" xfId="6" applyFont="1" applyFill="1" applyBorder="1" applyAlignment="1">
      <alignment horizontal="left" vertical="center"/>
    </xf>
    <xf numFmtId="0" fontId="1" fillId="0" borderId="62" xfId="6" applyFont="1" applyBorder="1" applyAlignment="1">
      <alignment horizontal="left" vertical="center" wrapText="1"/>
    </xf>
    <xf numFmtId="0" fontId="1" fillId="0" borderId="18" xfId="6" applyFont="1" applyBorder="1" applyAlignment="1">
      <alignment horizontal="left" vertical="center" wrapText="1"/>
    </xf>
    <xf numFmtId="0" fontId="1" fillId="0" borderId="64" xfId="6" applyFont="1" applyBorder="1" applyAlignment="1">
      <alignment horizontal="left" vertical="center" wrapText="1"/>
    </xf>
    <xf numFmtId="0" fontId="7" fillId="0" borderId="84" xfId="6" applyFont="1" applyBorder="1" applyAlignment="1">
      <alignment horizontal="center" vertical="center"/>
    </xf>
    <xf numFmtId="0" fontId="7" fillId="0" borderId="34" xfId="6" applyFont="1" applyBorder="1" applyAlignment="1">
      <alignment horizontal="center" vertical="center"/>
    </xf>
    <xf numFmtId="0" fontId="7" fillId="0" borderId="34" xfId="6" applyFont="1" applyBorder="1" applyAlignment="1">
      <alignment horizontal="left" vertical="center" wrapText="1"/>
    </xf>
    <xf numFmtId="0" fontId="7" fillId="0" borderId="35" xfId="6" applyFont="1" applyBorder="1" applyAlignment="1">
      <alignment horizontal="left" vertical="center" wrapText="1"/>
    </xf>
    <xf numFmtId="0" fontId="1" fillId="0" borderId="84" xfId="6" applyFont="1" applyBorder="1" applyAlignment="1">
      <alignment horizontal="center" vertical="center"/>
    </xf>
    <xf numFmtId="0" fontId="1" fillId="0" borderId="34" xfId="6" applyFont="1" applyBorder="1" applyAlignment="1">
      <alignment horizontal="center" vertical="center"/>
    </xf>
    <xf numFmtId="0" fontId="34" fillId="0" borderId="34" xfId="6" applyFont="1" applyBorder="1" applyAlignment="1">
      <alignment horizontal="left" vertical="center" wrapText="1"/>
    </xf>
    <xf numFmtId="0" fontId="34" fillId="0" borderId="35" xfId="6" applyFont="1" applyBorder="1" applyAlignment="1">
      <alignment horizontal="left" vertical="center" wrapText="1"/>
    </xf>
    <xf numFmtId="0" fontId="1" fillId="0" borderId="45" xfId="6" applyFont="1" applyBorder="1" applyAlignment="1">
      <alignment horizontal="center" vertical="center"/>
    </xf>
    <xf numFmtId="0" fontId="1" fillId="0" borderId="68" xfId="6" applyFont="1" applyBorder="1" applyAlignment="1">
      <alignment horizontal="center" vertical="center"/>
    </xf>
    <xf numFmtId="0" fontId="34" fillId="0" borderId="68" xfId="6" applyFont="1" applyBorder="1" applyAlignment="1">
      <alignment horizontal="left" vertical="center" wrapText="1"/>
    </xf>
    <xf numFmtId="0" fontId="34" fillId="0" borderId="69" xfId="6" applyFont="1" applyBorder="1" applyAlignment="1">
      <alignment horizontal="left" vertical="center" wrapText="1"/>
    </xf>
    <xf numFmtId="0" fontId="25" fillId="4" borderId="25" xfId="0" applyFont="1" applyFill="1" applyBorder="1" applyAlignment="1">
      <alignment horizontal="center" vertical="center" textRotation="90" wrapText="1" shrinkToFit="1"/>
    </xf>
    <xf numFmtId="0" fontId="25" fillId="4" borderId="79" xfId="0" applyFont="1" applyFill="1" applyBorder="1" applyAlignment="1">
      <alignment horizontal="center" vertical="center" textRotation="90" wrapText="1" shrinkToFit="1"/>
    </xf>
    <xf numFmtId="0" fontId="6" fillId="0" borderId="82" xfId="0" applyFont="1" applyBorder="1" applyAlignment="1">
      <alignment horizontal="center" wrapText="1"/>
    </xf>
    <xf numFmtId="0" fontId="6" fillId="0" borderId="83" xfId="0" applyFont="1" applyBorder="1" applyAlignment="1">
      <alignment horizontal="center" wrapText="1"/>
    </xf>
    <xf numFmtId="0" fontId="4" fillId="0" borderId="75" xfId="0" applyFont="1" applyBorder="1" applyAlignment="1">
      <alignment horizontal="center" wrapText="1"/>
    </xf>
    <xf numFmtId="0" fontId="4" fillId="0" borderId="15" xfId="0" applyFont="1" applyBorder="1" applyAlignment="1">
      <alignment horizontal="center" wrapText="1"/>
    </xf>
    <xf numFmtId="0" fontId="4" fillId="0" borderId="77" xfId="0" applyFont="1" applyBorder="1" applyAlignment="1">
      <alignment horizontal="center" wrapText="1"/>
    </xf>
    <xf numFmtId="0" fontId="7" fillId="4" borderId="72" xfId="6" applyFont="1" applyFill="1" applyBorder="1" applyAlignment="1">
      <alignment horizontal="center"/>
    </xf>
    <xf numFmtId="0" fontId="7" fillId="4" borderId="30" xfId="6" applyFont="1" applyFill="1" applyBorder="1" applyAlignment="1">
      <alignment horizontal="center"/>
    </xf>
    <xf numFmtId="0" fontId="7" fillId="4" borderId="30" xfId="6" applyFont="1" applyFill="1" applyBorder="1" applyAlignment="1">
      <alignment horizontal="center" wrapText="1"/>
    </xf>
    <xf numFmtId="0" fontId="7" fillId="4" borderId="31" xfId="6" applyFont="1" applyFill="1" applyBorder="1" applyAlignment="1">
      <alignment horizontal="center" wrapText="1"/>
    </xf>
    <xf numFmtId="0" fontId="4" fillId="0" borderId="75" xfId="0" applyFont="1" applyBorder="1" applyAlignment="1">
      <alignment horizontal="center"/>
    </xf>
    <xf numFmtId="0" fontId="4" fillId="0" borderId="15" xfId="0" applyFont="1" applyBorder="1" applyAlignment="1">
      <alignment horizontal="center"/>
    </xf>
    <xf numFmtId="0" fontId="4" fillId="0" borderId="77" xfId="0" applyFont="1" applyBorder="1" applyAlignment="1">
      <alignment horizontal="center"/>
    </xf>
    <xf numFmtId="0" fontId="4" fillId="0" borderId="78" xfId="0" applyFont="1" applyBorder="1" applyAlignment="1">
      <alignment horizontal="center"/>
    </xf>
    <xf numFmtId="0" fontId="6" fillId="0" borderId="75" xfId="0" applyFont="1" applyBorder="1" applyAlignment="1">
      <alignment horizontal="center"/>
    </xf>
    <xf numFmtId="0" fontId="6" fillId="0" borderId="77" xfId="0" applyFont="1" applyBorder="1" applyAlignment="1">
      <alignment horizontal="center"/>
    </xf>
    <xf numFmtId="0" fontId="11" fillId="4" borderId="72" xfId="5" applyFont="1" applyFill="1" applyBorder="1" applyAlignment="1">
      <alignment horizontal="center"/>
    </xf>
    <xf numFmtId="0" fontId="11" fillId="4" borderId="30" xfId="5" applyFont="1" applyFill="1" applyBorder="1" applyAlignment="1">
      <alignment horizontal="center"/>
    </xf>
    <xf numFmtId="0" fontId="11" fillId="0" borderId="36" xfId="5" applyFont="1" applyBorder="1" applyAlignment="1">
      <alignment horizontal="center"/>
    </xf>
    <xf numFmtId="0" fontId="11" fillId="0" borderId="74" xfId="5" applyFont="1" applyBorder="1" applyAlignment="1">
      <alignment horizontal="center"/>
    </xf>
    <xf numFmtId="0" fontId="25" fillId="0" borderId="55" xfId="0" applyFont="1" applyBorder="1" applyAlignment="1">
      <alignment horizontal="left" vertical="center" wrapText="1" shrinkToFit="1"/>
    </xf>
    <xf numFmtId="0" fontId="25" fillId="0" borderId="56" xfId="0" applyFont="1" applyBorder="1" applyAlignment="1">
      <alignment horizontal="left" vertical="center" wrapText="1" shrinkToFit="1"/>
    </xf>
    <xf numFmtId="0" fontId="25" fillId="0" borderId="58" xfId="0" applyFont="1" applyBorder="1" applyAlignment="1">
      <alignment horizontal="left" vertical="center" wrapText="1" shrinkToFit="1"/>
    </xf>
    <xf numFmtId="0" fontId="25" fillId="4" borderId="39" xfId="0" applyFont="1" applyFill="1" applyBorder="1" applyAlignment="1">
      <alignment horizontal="center" vertical="center" textRotation="90" wrapText="1" shrinkToFit="1"/>
    </xf>
    <xf numFmtId="0" fontId="25" fillId="4" borderId="27" xfId="0" applyFont="1" applyFill="1" applyBorder="1" applyAlignment="1">
      <alignment horizontal="center" vertical="center" wrapText="1" shrinkToFit="1"/>
    </xf>
    <xf numFmtId="0" fontId="25" fillId="4" borderId="29" xfId="0" applyFont="1" applyFill="1" applyBorder="1" applyAlignment="1">
      <alignment horizontal="center" vertical="center" wrapText="1" shrinkToFit="1"/>
    </xf>
    <xf numFmtId="0" fontId="25" fillId="4" borderId="28" xfId="0" applyFont="1" applyFill="1" applyBorder="1" applyAlignment="1">
      <alignment horizontal="center" vertical="center" wrapText="1" shrinkToFit="1"/>
    </xf>
    <xf numFmtId="0" fontId="25" fillId="4" borderId="27" xfId="0" applyFont="1" applyFill="1" applyBorder="1" applyAlignment="1">
      <alignment horizontal="center" vertical="center" wrapText="1"/>
    </xf>
    <xf numFmtId="0" fontId="25" fillId="4" borderId="28" xfId="0" applyFont="1" applyFill="1" applyBorder="1" applyAlignment="1">
      <alignment horizontal="center" vertical="center" wrapText="1"/>
    </xf>
    <xf numFmtId="0" fontId="25" fillId="4" borderId="61" xfId="0" applyFont="1" applyFill="1" applyBorder="1" applyAlignment="1">
      <alignment horizontal="center" vertical="center" wrapText="1"/>
    </xf>
    <xf numFmtId="0" fontId="20" fillId="0" borderId="62" xfId="4" applyFont="1" applyBorder="1" applyAlignment="1">
      <alignment horizontal="left"/>
    </xf>
    <xf numFmtId="0" fontId="20" fillId="0" borderId="18" xfId="4" applyFont="1" applyBorder="1" applyAlignment="1">
      <alignment horizontal="left"/>
    </xf>
    <xf numFmtId="0" fontId="20" fillId="0" borderId="63" xfId="4" applyFont="1" applyBorder="1" applyAlignment="1">
      <alignment horizontal="left"/>
    </xf>
    <xf numFmtId="0" fontId="20" fillId="0" borderId="34" xfId="4" applyFont="1" applyBorder="1" applyAlignment="1">
      <alignment horizontal="center"/>
    </xf>
    <xf numFmtId="0" fontId="20" fillId="0" borderId="35" xfId="4" applyFont="1" applyBorder="1" applyAlignment="1">
      <alignment horizontal="center"/>
    </xf>
    <xf numFmtId="0" fontId="11" fillId="0" borderId="62" xfId="5" applyFont="1" applyBorder="1" applyAlignment="1">
      <alignment horizontal="center"/>
    </xf>
    <xf numFmtId="0" fontId="11" fillId="0" borderId="63" xfId="5" applyFont="1" applyBorder="1" applyAlignment="1">
      <alignment horizontal="center"/>
    </xf>
    <xf numFmtId="0" fontId="13" fillId="0" borderId="34" xfId="5" applyFont="1" applyBorder="1" applyAlignment="1">
      <alignment horizontal="center"/>
    </xf>
    <xf numFmtId="0" fontId="11" fillId="0" borderId="17" xfId="5" applyFont="1" applyBorder="1" applyAlignment="1">
      <alignment horizontal="center"/>
    </xf>
    <xf numFmtId="0" fontId="20" fillId="0" borderId="65" xfId="4" applyFont="1" applyBorder="1" applyAlignment="1">
      <alignment horizontal="left"/>
    </xf>
    <xf numFmtId="0" fontId="20" fillId="0" borderId="66" xfId="4" applyFont="1" applyBorder="1" applyAlignment="1">
      <alignment horizontal="left"/>
    </xf>
    <xf numFmtId="0" fontId="20" fillId="0" borderId="67" xfId="4" applyFont="1" applyBorder="1" applyAlignment="1">
      <alignment horizontal="left"/>
    </xf>
    <xf numFmtId="0" fontId="20" fillId="0" borderId="68" xfId="4" applyFont="1" applyBorder="1" applyAlignment="1">
      <alignment horizontal="center"/>
    </xf>
    <xf numFmtId="0" fontId="20" fillId="0" borderId="69" xfId="4" applyFont="1" applyBorder="1" applyAlignment="1">
      <alignment horizontal="center"/>
    </xf>
    <xf numFmtId="0" fontId="11" fillId="0" borderId="65" xfId="5" quotePrefix="1" applyFont="1" applyBorder="1" applyAlignment="1">
      <alignment horizontal="center"/>
    </xf>
    <xf numFmtId="0" fontId="11" fillId="0" borderId="67" xfId="5" quotePrefix="1" applyFont="1" applyBorder="1" applyAlignment="1">
      <alignment horizontal="center"/>
    </xf>
    <xf numFmtId="167" fontId="13" fillId="0" borderId="68" xfId="5" quotePrefix="1" applyNumberFormat="1" applyFont="1" applyBorder="1" applyAlignment="1">
      <alignment horizontal="center"/>
    </xf>
    <xf numFmtId="0" fontId="11" fillId="0" borderId="70" xfId="5" quotePrefix="1" applyFont="1" applyBorder="1" applyAlignment="1">
      <alignment horizontal="center"/>
    </xf>
    <xf numFmtId="166" fontId="14" fillId="0" borderId="56" xfId="0" applyNumberFormat="1" applyFont="1" applyBorder="1" applyAlignment="1">
      <alignment horizontal="center" vertical="center"/>
    </xf>
    <xf numFmtId="166" fontId="14" fillId="0" borderId="58" xfId="0" applyNumberFormat="1" applyFont="1" applyBorder="1" applyAlignment="1">
      <alignment horizontal="center" vertical="center"/>
    </xf>
    <xf numFmtId="0" fontId="20" fillId="0" borderId="60" xfId="4" applyFont="1" applyBorder="1" applyAlignment="1">
      <alignment horizontal="left"/>
    </xf>
    <xf numFmtId="0" fontId="20" fillId="0" borderId="28" xfId="4" applyFont="1" applyBorder="1" applyAlignment="1">
      <alignment horizontal="left"/>
    </xf>
    <xf numFmtId="0" fontId="20" fillId="0" borderId="29" xfId="4" applyFont="1" applyBorder="1" applyAlignment="1">
      <alignment horizontal="left"/>
    </xf>
    <xf numFmtId="0" fontId="20" fillId="0" borderId="30" xfId="4" applyFont="1" applyBorder="1" applyAlignment="1">
      <alignment horizontal="center"/>
    </xf>
    <xf numFmtId="0" fontId="20" fillId="0" borderId="31" xfId="4" applyFont="1" applyBorder="1" applyAlignment="1">
      <alignment horizontal="center"/>
    </xf>
    <xf numFmtId="0" fontId="11" fillId="4" borderId="60" xfId="5" applyFont="1" applyFill="1" applyBorder="1" applyAlignment="1">
      <alignment horizontal="center"/>
    </xf>
    <xf numFmtId="0" fontId="11" fillId="4" borderId="29" xfId="5" applyFont="1" applyFill="1" applyBorder="1" applyAlignment="1">
      <alignment horizontal="center"/>
    </xf>
    <xf numFmtId="0" fontId="11" fillId="4" borderId="27" xfId="5" applyFont="1" applyFill="1" applyBorder="1" applyAlignment="1">
      <alignment horizontal="center"/>
    </xf>
    <xf numFmtId="2" fontId="14" fillId="0" borderId="56" xfId="0" applyNumberFormat="1" applyFont="1" applyBorder="1" applyAlignment="1">
      <alignment horizontal="center" vertical="center"/>
    </xf>
    <xf numFmtId="2" fontId="14" fillId="0" borderId="58" xfId="0" applyNumberFormat="1" applyFont="1" applyBorder="1" applyAlignment="1">
      <alignment horizontal="center" vertical="center"/>
    </xf>
    <xf numFmtId="0" fontId="12" fillId="5" borderId="36" xfId="0" applyFont="1" applyFill="1" applyBorder="1" applyAlignment="1">
      <alignment horizontal="center" vertical="center" textRotation="90" wrapText="1"/>
    </xf>
    <xf numFmtId="0" fontId="12" fillId="5" borderId="39" xfId="0" applyFont="1" applyFill="1" applyBorder="1" applyAlignment="1">
      <alignment horizontal="center" vertical="center" textRotation="90" wrapText="1"/>
    </xf>
    <xf numFmtId="166" fontId="7" fillId="0" borderId="41" xfId="0" applyNumberFormat="1" applyFont="1" applyBorder="1" applyAlignment="1">
      <alignment horizontal="center"/>
    </xf>
    <xf numFmtId="166" fontId="7" fillId="0" borderId="38" xfId="0" applyNumberFormat="1" applyFont="1" applyBorder="1" applyAlignment="1">
      <alignment horizontal="center"/>
    </xf>
    <xf numFmtId="166" fontId="14" fillId="0" borderId="47" xfId="0" applyNumberFormat="1" applyFont="1" applyBorder="1" applyAlignment="1">
      <alignment horizontal="center" vertical="center"/>
    </xf>
    <xf numFmtId="166" fontId="14" fillId="0" borderId="48" xfId="0" applyNumberFormat="1" applyFont="1" applyBorder="1" applyAlignment="1">
      <alignment horizontal="center" vertical="center"/>
    </xf>
    <xf numFmtId="0" fontId="12" fillId="5" borderId="25" xfId="0" applyFont="1" applyFill="1" applyBorder="1" applyAlignment="1">
      <alignment horizontal="center" vertical="center" textRotation="90" wrapText="1"/>
    </xf>
    <xf numFmtId="0" fontId="12" fillId="0" borderId="54" xfId="0" applyFont="1" applyBorder="1" applyAlignment="1">
      <alignment horizontal="center" vertical="center" wrapText="1"/>
    </xf>
    <xf numFmtId="0" fontId="12" fillId="0" borderId="16" xfId="0" applyFont="1" applyBorder="1" applyAlignment="1">
      <alignment horizontal="center" vertical="center" wrapText="1"/>
    </xf>
    <xf numFmtId="166" fontId="14" fillId="0" borderId="51" xfId="0" applyNumberFormat="1" applyFont="1" applyBorder="1" applyAlignment="1">
      <alignment horizontal="center" vertical="center"/>
    </xf>
    <xf numFmtId="166" fontId="14" fillId="0" borderId="52" xfId="0" applyNumberFormat="1" applyFont="1" applyBorder="1" applyAlignment="1">
      <alignment horizontal="center" vertical="center"/>
    </xf>
    <xf numFmtId="0" fontId="4" fillId="2" borderId="17" xfId="2" applyFont="1" applyFill="1" applyBorder="1" applyAlignment="1">
      <alignment horizontal="left" vertical="center"/>
    </xf>
    <xf numFmtId="0" fontId="4" fillId="2" borderId="18" xfId="2" applyFont="1" applyFill="1" applyBorder="1" applyAlignment="1">
      <alignment horizontal="left" vertical="center"/>
    </xf>
    <xf numFmtId="0" fontId="4" fillId="2" borderId="19" xfId="2" applyFont="1" applyFill="1" applyBorder="1" applyAlignment="1">
      <alignment horizontal="left" vertical="center"/>
    </xf>
    <xf numFmtId="0" fontId="6" fillId="0" borderId="23" xfId="0" applyFont="1" applyBorder="1" applyAlignment="1">
      <alignment horizontal="right"/>
    </xf>
    <xf numFmtId="0" fontId="4" fillId="0" borderId="2" xfId="0" applyFont="1" applyBorder="1" applyAlignment="1">
      <alignment horizontal="center"/>
    </xf>
    <xf numFmtId="0" fontId="4" fillId="0" borderId="4" xfId="0" applyFont="1" applyBorder="1" applyAlignment="1">
      <alignment horizontal="center"/>
    </xf>
    <xf numFmtId="0" fontId="0" fillId="4" borderId="25" xfId="0" applyFill="1" applyBorder="1" applyAlignment="1">
      <alignment horizontal="center" textRotation="60"/>
    </xf>
    <xf numFmtId="0" fontId="0" fillId="4" borderId="32" xfId="0" applyFill="1" applyBorder="1" applyAlignment="1">
      <alignment horizontal="center" textRotation="60"/>
    </xf>
    <xf numFmtId="0" fontId="0" fillId="4" borderId="26" xfId="0" applyFill="1" applyBorder="1" applyAlignment="1">
      <alignment horizontal="center"/>
    </xf>
    <xf numFmtId="0" fontId="0" fillId="4" borderId="33" xfId="0" applyFill="1" applyBorder="1" applyAlignment="1">
      <alignment horizontal="center"/>
    </xf>
    <xf numFmtId="0" fontId="8" fillId="4" borderId="27" xfId="0" applyFont="1" applyFill="1" applyBorder="1" applyAlignment="1">
      <alignment horizontal="center"/>
    </xf>
    <xf numFmtId="0" fontId="8" fillId="4" borderId="28" xfId="0" applyFont="1" applyFill="1" applyBorder="1" applyAlignment="1">
      <alignment horizontal="center"/>
    </xf>
    <xf numFmtId="0" fontId="8" fillId="4" borderId="29" xfId="0" applyFont="1" applyFill="1" applyBorder="1" applyAlignment="1">
      <alignment horizontal="center"/>
    </xf>
    <xf numFmtId="0" fontId="9" fillId="4" borderId="30" xfId="0" applyFont="1" applyFill="1" applyBorder="1" applyAlignment="1">
      <alignment horizontal="center" vertical="center"/>
    </xf>
    <xf numFmtId="0" fontId="9" fillId="4" borderId="34" xfId="0" applyFont="1" applyFill="1" applyBorder="1" applyAlignment="1">
      <alignment horizontal="center" vertical="center"/>
    </xf>
    <xf numFmtId="0" fontId="9" fillId="4" borderId="31" xfId="0" applyFont="1" applyFill="1" applyBorder="1" applyAlignment="1">
      <alignment horizontal="center" vertical="center"/>
    </xf>
    <xf numFmtId="0" fontId="9" fillId="4" borderId="35" xfId="0" applyFont="1" applyFill="1" applyBorder="1" applyAlignment="1">
      <alignment horizontal="center" vertical="center"/>
    </xf>
    <xf numFmtId="0" fontId="2" fillId="0" borderId="0" xfId="0" applyFont="1" applyAlignment="1">
      <alignment horizontal="center"/>
    </xf>
    <xf numFmtId="0" fontId="3" fillId="0" borderId="0" xfId="0" applyFont="1" applyAlignment="1">
      <alignment horizontal="center"/>
    </xf>
    <xf numFmtId="0" fontId="5" fillId="0" borderId="1" xfId="0" applyFont="1" applyBorder="1" applyAlignment="1">
      <alignment horizontal="center" vertical="center"/>
    </xf>
    <xf numFmtId="0" fontId="6" fillId="0" borderId="2"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164" fontId="4" fillId="2" borderId="8" xfId="2" applyNumberFormat="1" applyFont="1" applyFill="1" applyBorder="1" applyAlignment="1">
      <alignment horizontal="left"/>
    </xf>
    <xf numFmtId="164" fontId="4" fillId="2" borderId="6" xfId="2" applyNumberFormat="1" applyFont="1" applyFill="1" applyBorder="1" applyAlignment="1">
      <alignment horizontal="left"/>
    </xf>
    <xf numFmtId="164" fontId="4" fillId="2" borderId="9" xfId="2" applyNumberFormat="1" applyFont="1" applyFill="1" applyBorder="1" applyAlignment="1">
      <alignment horizontal="left"/>
    </xf>
  </cellXfs>
  <cellStyles count="7">
    <cellStyle name="Normal" xfId="0" builtinId="0"/>
    <cellStyle name="Normal 2" xfId="2" xr:uid="{21AB0472-EEB4-4152-80DC-17AEC19F0CE1}"/>
    <cellStyle name="Normal_08_GRR Data Sheet piece" xfId="6" xr:uid="{97376BB1-2605-4496-B6F3-03D88A944AE2}"/>
    <cellStyle name="Normal_08_GRR Data Sheet Press Shank" xfId="4" xr:uid="{002E04BA-F904-4F80-AA16-EB66DE7DCB01}"/>
    <cellStyle name="Normal_GRR1998" xfId="5" xr:uid="{59AC0FBA-4107-446B-8B4C-6B18EB85BECD}"/>
    <cellStyle name="Normal_Sheet1" xfId="3" xr:uid="{1C1E8DAC-6FA9-42E3-AA2B-9EEE95294BE1}"/>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2826D-1865-418E-82EB-EB74B5565A2A}">
  <sheetPr>
    <pageSetUpPr fitToPage="1"/>
  </sheetPr>
  <dimension ref="A1:O56"/>
  <sheetViews>
    <sheetView tabSelected="1" workbookViewId="0">
      <selection activeCell="I30" sqref="I30"/>
    </sheetView>
  </sheetViews>
  <sheetFormatPr defaultRowHeight="15"/>
  <sheetData>
    <row r="1" spans="1:15" ht="18.75">
      <c r="A1" s="254" t="s">
        <v>0</v>
      </c>
      <c r="B1" s="254"/>
      <c r="C1" s="254"/>
      <c r="D1" s="254"/>
      <c r="E1" s="254"/>
      <c r="F1" s="254"/>
      <c r="G1" s="254"/>
      <c r="H1" s="254"/>
      <c r="I1" s="254"/>
      <c r="J1" s="254"/>
      <c r="K1" s="254"/>
      <c r="L1" s="254"/>
      <c r="M1" s="254"/>
      <c r="N1" s="254"/>
      <c r="O1" s="254"/>
    </row>
    <row r="2" spans="1:15" ht="16.5" thickBot="1">
      <c r="A2" s="255" t="s">
        <v>1</v>
      </c>
      <c r="B2" s="255"/>
      <c r="C2" s="255"/>
      <c r="D2" s="255"/>
      <c r="E2" s="255"/>
      <c r="F2" s="255"/>
      <c r="G2" s="255"/>
      <c r="H2" s="255"/>
      <c r="I2" s="255"/>
      <c r="J2" s="255"/>
      <c r="K2" s="255"/>
      <c r="L2" s="255"/>
      <c r="M2" s="255"/>
      <c r="N2" s="255"/>
      <c r="O2" s="1"/>
    </row>
    <row r="3" spans="1:15" ht="16.5" thickBot="1">
      <c r="A3" s="256"/>
      <c r="B3" s="256"/>
      <c r="C3" s="256"/>
      <c r="D3" s="1"/>
      <c r="E3" s="1"/>
      <c r="F3" s="1"/>
      <c r="G3" s="1"/>
      <c r="H3" s="2"/>
      <c r="I3" s="2"/>
      <c r="J3" s="257" t="s">
        <v>2</v>
      </c>
      <c r="K3" s="258"/>
      <c r="L3" s="258"/>
      <c r="M3" s="258"/>
      <c r="N3" s="258"/>
      <c r="O3" s="259"/>
    </row>
    <row r="4" spans="1:15" ht="16.5" thickBot="1">
      <c r="A4" s="3" t="s">
        <v>3</v>
      </c>
      <c r="B4" s="4"/>
      <c r="C4" s="5"/>
      <c r="D4" s="260"/>
      <c r="E4" s="261"/>
      <c r="F4" s="261"/>
      <c r="G4" s="261"/>
      <c r="H4" s="261"/>
      <c r="I4" s="262"/>
      <c r="J4" s="241" t="s">
        <v>4</v>
      </c>
      <c r="K4" s="242"/>
      <c r="L4" s="241" t="s">
        <v>5</v>
      </c>
      <c r="M4" s="242"/>
      <c r="N4" s="241" t="s">
        <v>6</v>
      </c>
      <c r="O4" s="242"/>
    </row>
    <row r="5" spans="1:15" ht="15.75">
      <c r="A5" s="6" t="s">
        <v>102</v>
      </c>
      <c r="B5" s="7"/>
      <c r="C5" s="8"/>
      <c r="D5" s="132"/>
      <c r="E5" s="132"/>
      <c r="F5" s="132"/>
      <c r="G5" s="132"/>
      <c r="H5" s="132"/>
      <c r="I5" s="132"/>
      <c r="J5" s="133"/>
      <c r="K5" s="134"/>
      <c r="L5" s="135"/>
      <c r="M5" s="134"/>
      <c r="N5" s="135"/>
      <c r="O5" s="134"/>
    </row>
    <row r="6" spans="1:15" ht="15.75">
      <c r="A6" s="6" t="s">
        <v>7</v>
      </c>
      <c r="B6" s="7"/>
      <c r="C6" s="8"/>
      <c r="D6" s="9" t="s">
        <v>104</v>
      </c>
      <c r="E6" s="9"/>
      <c r="F6" s="10"/>
      <c r="G6" s="10"/>
      <c r="H6" s="11"/>
      <c r="I6" s="12"/>
      <c r="J6" s="13"/>
      <c r="K6" s="14"/>
      <c r="L6" s="1"/>
      <c r="M6" s="14"/>
      <c r="N6" s="1"/>
      <c r="O6" s="14"/>
    </row>
    <row r="7" spans="1:15" ht="15.75">
      <c r="A7" s="6" t="s">
        <v>8</v>
      </c>
      <c r="B7" s="7"/>
      <c r="C7" s="8"/>
      <c r="D7" s="9" t="s">
        <v>106</v>
      </c>
      <c r="E7" s="9"/>
      <c r="F7" s="9"/>
      <c r="G7" s="9"/>
      <c r="H7" s="9"/>
      <c r="I7" s="15"/>
      <c r="J7" s="13"/>
      <c r="K7" s="14"/>
      <c r="L7" s="1"/>
      <c r="M7" s="14"/>
      <c r="N7" s="1"/>
      <c r="O7" s="14"/>
    </row>
    <row r="8" spans="1:15" ht="15.75">
      <c r="A8" s="6" t="s">
        <v>9</v>
      </c>
      <c r="B8" s="7"/>
      <c r="C8" s="8"/>
      <c r="D8" s="16" t="s">
        <v>105</v>
      </c>
      <c r="E8" s="17"/>
      <c r="F8" s="16"/>
      <c r="G8" s="16"/>
      <c r="H8" s="16"/>
      <c r="I8" s="18"/>
      <c r="J8" s="13"/>
      <c r="K8" s="14"/>
      <c r="L8" s="1"/>
      <c r="M8" s="14"/>
      <c r="N8" s="1"/>
      <c r="O8" s="14"/>
    </row>
    <row r="9" spans="1:15" ht="15.75">
      <c r="A9" s="6" t="s">
        <v>10</v>
      </c>
      <c r="B9" s="19"/>
      <c r="C9" s="20"/>
      <c r="D9" s="237" t="s">
        <v>98</v>
      </c>
      <c r="E9" s="238"/>
      <c r="F9" s="238"/>
      <c r="G9" s="238"/>
      <c r="H9" s="238"/>
      <c r="I9" s="239"/>
      <c r="J9" s="13"/>
      <c r="K9" s="14"/>
      <c r="L9" s="1"/>
      <c r="M9" s="14"/>
      <c r="N9" s="1"/>
      <c r="O9" s="14"/>
    </row>
    <row r="10" spans="1:15" ht="16.5" thickBot="1">
      <c r="A10" s="21"/>
      <c r="B10" s="22"/>
      <c r="C10" s="23"/>
      <c r="D10" s="24"/>
      <c r="E10" s="25"/>
      <c r="F10" s="25"/>
      <c r="G10" s="26"/>
      <c r="H10" s="26"/>
      <c r="I10" s="27"/>
      <c r="J10" s="28"/>
      <c r="K10" s="29"/>
      <c r="L10" s="2"/>
      <c r="M10" s="29"/>
      <c r="N10" s="2"/>
      <c r="O10" s="29"/>
    </row>
    <row r="11" spans="1:15" ht="16.5" thickBot="1">
      <c r="A11" s="30" t="s">
        <v>11</v>
      </c>
      <c r="B11" s="31">
        <v>6.5</v>
      </c>
      <c r="C11" s="32" t="s">
        <v>12</v>
      </c>
      <c r="D11" s="31">
        <v>7.5</v>
      </c>
      <c r="E11" s="240" t="s">
        <v>13</v>
      </c>
      <c r="F11" s="240"/>
      <c r="G11" s="33">
        <f>(D11-B11)/2</f>
        <v>0.5</v>
      </c>
      <c r="H11" s="34" t="s">
        <v>14</v>
      </c>
      <c r="I11" s="35"/>
      <c r="J11" s="241"/>
      <c r="K11" s="242"/>
      <c r="L11" s="241"/>
      <c r="M11" s="242"/>
      <c r="N11" s="241"/>
      <c r="O11" s="242"/>
    </row>
    <row r="12" spans="1:15" ht="16.5" thickBot="1">
      <c r="A12" s="1"/>
      <c r="B12" s="1"/>
      <c r="C12" s="1"/>
      <c r="D12" s="1"/>
      <c r="E12" s="1"/>
      <c r="F12" s="1"/>
      <c r="G12" s="1"/>
      <c r="H12" s="1"/>
      <c r="I12" s="1"/>
      <c r="J12" s="1"/>
      <c r="K12" s="1"/>
      <c r="L12" s="1"/>
      <c r="M12" s="1"/>
      <c r="N12" s="1"/>
      <c r="O12" s="1"/>
    </row>
    <row r="13" spans="1:15" ht="15.75" customHeight="1" thickTop="1">
      <c r="A13" s="243" t="s">
        <v>15</v>
      </c>
      <c r="B13" s="245" t="s">
        <v>16</v>
      </c>
      <c r="C13" s="247" t="s">
        <v>17</v>
      </c>
      <c r="D13" s="248"/>
      <c r="E13" s="248"/>
      <c r="F13" s="248"/>
      <c r="G13" s="248"/>
      <c r="H13" s="248"/>
      <c r="I13" s="248"/>
      <c r="J13" s="248"/>
      <c r="K13" s="248"/>
      <c r="L13" s="249"/>
      <c r="M13" s="250" t="s">
        <v>18</v>
      </c>
      <c r="N13" s="250" t="s">
        <v>19</v>
      </c>
      <c r="O13" s="252"/>
    </row>
    <row r="14" spans="1:15">
      <c r="A14" s="244"/>
      <c r="B14" s="246"/>
      <c r="C14" s="36">
        <v>1</v>
      </c>
      <c r="D14" s="36">
        <v>2</v>
      </c>
      <c r="E14" s="36">
        <v>3</v>
      </c>
      <c r="F14" s="36">
        <v>4</v>
      </c>
      <c r="G14" s="36">
        <v>5</v>
      </c>
      <c r="H14" s="36">
        <v>6</v>
      </c>
      <c r="I14" s="36">
        <v>7</v>
      </c>
      <c r="J14" s="36">
        <v>8</v>
      </c>
      <c r="K14" s="36">
        <v>9</v>
      </c>
      <c r="L14" s="36">
        <v>10</v>
      </c>
      <c r="M14" s="251"/>
      <c r="N14" s="251"/>
      <c r="O14" s="253"/>
    </row>
    <row r="15" spans="1:15">
      <c r="A15" s="226"/>
      <c r="B15" s="37">
        <v>1</v>
      </c>
      <c r="C15" s="38"/>
      <c r="D15" s="38"/>
      <c r="E15" s="38"/>
      <c r="F15" s="38"/>
      <c r="G15" s="38"/>
      <c r="H15" s="38"/>
      <c r="I15" s="38"/>
      <c r="J15" s="38"/>
      <c r="K15" s="38"/>
      <c r="L15" s="38"/>
      <c r="M15" s="39" t="str">
        <f>IF(C15="","",AVERAGE(C15:L15))</f>
        <v/>
      </c>
      <c r="N15" s="40" t="s">
        <v>20</v>
      </c>
      <c r="O15" s="41"/>
    </row>
    <row r="16" spans="1:15">
      <c r="A16" s="227"/>
      <c r="B16" s="42">
        <v>2</v>
      </c>
      <c r="C16" s="38"/>
      <c r="D16" s="38"/>
      <c r="E16" s="38"/>
      <c r="F16" s="38"/>
      <c r="G16" s="38"/>
      <c r="H16" s="38"/>
      <c r="I16" s="38"/>
      <c r="J16" s="38"/>
      <c r="K16" s="38"/>
      <c r="L16" s="38"/>
      <c r="M16" s="43" t="str">
        <f>IF(C16="","",AVERAGE(C16:L16))</f>
        <v/>
      </c>
      <c r="N16" s="228" t="str">
        <f>IF(COUNT(C15:L17)=0,"",AVERAGE(C15:L17))</f>
        <v/>
      </c>
      <c r="O16" s="229"/>
    </row>
    <row r="17" spans="1:15">
      <c r="A17" s="227"/>
      <c r="B17" s="44">
        <v>3</v>
      </c>
      <c r="C17" s="38"/>
      <c r="D17" s="38"/>
      <c r="E17" s="38"/>
      <c r="F17" s="38"/>
      <c r="G17" s="38"/>
      <c r="H17" s="38"/>
      <c r="I17" s="38"/>
      <c r="J17" s="38"/>
      <c r="K17" s="38"/>
      <c r="L17" s="38"/>
      <c r="M17" s="45" t="str">
        <f>IF(C17="","",AVERAGE(C17:L17))</f>
        <v/>
      </c>
      <c r="N17" s="46"/>
      <c r="O17" s="47"/>
    </row>
    <row r="18" spans="1:15" ht="15.75" thickBot="1">
      <c r="A18" s="48">
        <v>1</v>
      </c>
      <c r="B18" s="49" t="s">
        <v>21</v>
      </c>
      <c r="C18" s="50"/>
      <c r="D18" s="50"/>
      <c r="E18" s="50"/>
      <c r="F18" s="50"/>
      <c r="G18" s="50"/>
      <c r="H18" s="50"/>
      <c r="I18" s="50"/>
      <c r="J18" s="50"/>
      <c r="K18" s="50"/>
      <c r="L18" s="50"/>
      <c r="M18" s="51" t="s">
        <v>22</v>
      </c>
      <c r="N18" s="230" t="str">
        <f>IF(COUNT(C18:L18)=0,"",AVERAGE(C18:L18))</f>
        <v/>
      </c>
      <c r="O18" s="231"/>
    </row>
    <row r="19" spans="1:15" ht="15.75" customHeight="1" thickTop="1">
      <c r="A19" s="232"/>
      <c r="B19" s="52">
        <v>1</v>
      </c>
      <c r="C19" s="38"/>
      <c r="D19" s="38"/>
      <c r="E19" s="38"/>
      <c r="F19" s="38"/>
      <c r="G19" s="38"/>
      <c r="H19" s="38"/>
      <c r="I19" s="38"/>
      <c r="J19" s="38"/>
      <c r="K19" s="38"/>
      <c r="L19" s="38"/>
      <c r="M19" s="53" t="str">
        <f>IF(C19="","",AVERAGE(C19:L19))</f>
        <v/>
      </c>
      <c r="N19" s="54" t="s">
        <v>23</v>
      </c>
      <c r="O19" s="55"/>
    </row>
    <row r="20" spans="1:15">
      <c r="A20" s="227"/>
      <c r="B20" s="42">
        <v>2</v>
      </c>
      <c r="C20" s="38"/>
      <c r="D20" s="38"/>
      <c r="E20" s="38"/>
      <c r="F20" s="38"/>
      <c r="G20" s="38"/>
      <c r="H20" s="38"/>
      <c r="I20" s="38"/>
      <c r="J20" s="38"/>
      <c r="K20" s="38"/>
      <c r="L20" s="38"/>
      <c r="M20" s="56" t="str">
        <f>IF(C20="","",AVERAGE(C20:L20))</f>
        <v/>
      </c>
      <c r="N20" s="228" t="str">
        <f>IF(COUNT(C19:L21)=0,"",AVERAGE(C19:L21))</f>
        <v/>
      </c>
      <c r="O20" s="229"/>
    </row>
    <row r="21" spans="1:15">
      <c r="A21" s="227"/>
      <c r="B21" s="44">
        <v>3</v>
      </c>
      <c r="C21" s="38"/>
      <c r="D21" s="38"/>
      <c r="E21" s="38"/>
      <c r="F21" s="38"/>
      <c r="G21" s="38"/>
      <c r="H21" s="38"/>
      <c r="I21" s="38"/>
      <c r="J21" s="38"/>
      <c r="K21" s="38"/>
      <c r="L21" s="38"/>
      <c r="M21" s="45" t="str">
        <f>IF(C21="","",AVERAGE(C21:L21))</f>
        <v/>
      </c>
      <c r="N21" s="57"/>
      <c r="O21" s="58"/>
    </row>
    <row r="22" spans="1:15" ht="15.75" thickBot="1">
      <c r="A22" s="48">
        <v>2</v>
      </c>
      <c r="B22" s="49" t="s">
        <v>21</v>
      </c>
      <c r="C22" s="50"/>
      <c r="D22" s="50"/>
      <c r="E22" s="50"/>
      <c r="F22" s="50"/>
      <c r="G22" s="50"/>
      <c r="H22" s="50"/>
      <c r="I22" s="50"/>
      <c r="J22" s="50"/>
      <c r="K22" s="50"/>
      <c r="L22" s="50"/>
      <c r="M22" s="51" t="s">
        <v>24</v>
      </c>
      <c r="N22" s="230" t="str">
        <f>IF(COUNT(C22:L22)=0,"",AVERAGE(C22:L22))</f>
        <v/>
      </c>
      <c r="O22" s="231"/>
    </row>
    <row r="23" spans="1:15" ht="15.75" thickTop="1">
      <c r="A23" s="232"/>
      <c r="B23" s="52">
        <v>1</v>
      </c>
      <c r="C23" s="38"/>
      <c r="D23" s="38"/>
      <c r="E23" s="38"/>
      <c r="F23" s="38"/>
      <c r="G23" s="38"/>
      <c r="H23" s="38"/>
      <c r="I23" s="38"/>
      <c r="J23" s="38"/>
      <c r="K23" s="38"/>
      <c r="L23" s="38"/>
      <c r="M23" s="53" t="str">
        <f>IF(C23="","",AVERAGE(C23:L23))</f>
        <v/>
      </c>
      <c r="N23" s="40" t="s">
        <v>25</v>
      </c>
      <c r="O23" s="59"/>
    </row>
    <row r="24" spans="1:15">
      <c r="A24" s="227"/>
      <c r="B24" s="42">
        <v>2</v>
      </c>
      <c r="C24" s="38"/>
      <c r="D24" s="38"/>
      <c r="E24" s="38"/>
      <c r="F24" s="38"/>
      <c r="G24" s="38"/>
      <c r="H24" s="38"/>
      <c r="I24" s="38"/>
      <c r="J24" s="38"/>
      <c r="K24" s="38"/>
      <c r="L24" s="38"/>
      <c r="M24" s="56" t="str">
        <f>IF(C24="","",AVERAGE(C24:L24))</f>
        <v/>
      </c>
      <c r="N24" s="228" t="str">
        <f>IF(COUNT(C23:L25)=0,"",AVERAGE(C23:L25))</f>
        <v/>
      </c>
      <c r="O24" s="229"/>
    </row>
    <row r="25" spans="1:15">
      <c r="A25" s="227"/>
      <c r="B25" s="44">
        <v>3</v>
      </c>
      <c r="C25" s="38"/>
      <c r="D25" s="38"/>
      <c r="E25" s="38"/>
      <c r="F25" s="38"/>
      <c r="G25" s="38"/>
      <c r="H25" s="38"/>
      <c r="I25" s="38"/>
      <c r="J25" s="38"/>
      <c r="K25" s="38"/>
      <c r="L25" s="38"/>
      <c r="M25" s="45" t="str">
        <f>IF(C25="","",AVERAGE(C25:L25))</f>
        <v/>
      </c>
      <c r="N25" s="57"/>
      <c r="O25" s="58"/>
    </row>
    <row r="26" spans="1:15" ht="15.75" thickBot="1">
      <c r="A26" s="48">
        <v>3</v>
      </c>
      <c r="B26" s="49" t="s">
        <v>21</v>
      </c>
      <c r="C26" s="60"/>
      <c r="D26" s="60"/>
      <c r="E26" s="60"/>
      <c r="F26" s="60"/>
      <c r="G26" s="60"/>
      <c r="H26" s="60"/>
      <c r="I26" s="60"/>
      <c r="J26" s="60"/>
      <c r="K26" s="60"/>
      <c r="L26" s="60"/>
      <c r="M26" s="61" t="s">
        <v>26</v>
      </c>
      <c r="N26" s="230" t="str">
        <f>IF(COUNT(C26:L26)=0,"",AVERAGE(C26:L26))</f>
        <v/>
      </c>
      <c r="O26" s="231"/>
    </row>
    <row r="27" spans="1:15" ht="34.5" customHeight="1" thickTop="1" thickBot="1">
      <c r="A27" s="233" t="s">
        <v>27</v>
      </c>
      <c r="B27" s="234"/>
      <c r="C27" s="62"/>
      <c r="D27" s="62"/>
      <c r="E27" s="62"/>
      <c r="F27" s="62"/>
      <c r="G27" s="62"/>
      <c r="H27" s="62"/>
      <c r="I27" s="62"/>
      <c r="J27" s="62"/>
      <c r="K27" s="62"/>
      <c r="L27" s="62"/>
      <c r="M27" s="63" t="s">
        <v>28</v>
      </c>
      <c r="N27" s="235" t="str">
        <f>IF(COUNT(C27:L27)&lt;1,"",MAX(C27:L27)-MIN(C27:L27))</f>
        <v/>
      </c>
      <c r="O27" s="236"/>
    </row>
    <row r="28" spans="1:15" ht="16.5" thickTop="1" thickBot="1">
      <c r="A28" s="64" t="s">
        <v>29</v>
      </c>
      <c r="B28" s="65"/>
      <c r="C28" s="65"/>
      <c r="D28" s="66"/>
      <c r="E28" s="66"/>
      <c r="F28" s="66"/>
      <c r="G28" s="66"/>
      <c r="H28" s="66"/>
      <c r="I28" s="66"/>
      <c r="J28" s="66"/>
      <c r="K28" s="66"/>
      <c r="L28" s="66"/>
      <c r="M28" s="67" t="s">
        <v>30</v>
      </c>
      <c r="N28" s="224" t="str">
        <f>IF(N16="","",MAX(N20,N16,N24)-MIN(N16,N20,N24))</f>
        <v/>
      </c>
      <c r="O28" s="225"/>
    </row>
    <row r="29" spans="1:15" ht="16.5" thickTop="1" thickBot="1">
      <c r="A29" s="68" t="s">
        <v>31</v>
      </c>
      <c r="B29" s="65"/>
      <c r="C29" s="65"/>
      <c r="D29" s="65"/>
      <c r="E29" s="66"/>
      <c r="F29" s="66"/>
      <c r="G29" s="66"/>
      <c r="H29" s="66"/>
      <c r="I29" s="66"/>
      <c r="J29" s="66"/>
      <c r="K29" s="66"/>
      <c r="L29" s="69"/>
      <c r="M29" s="70" t="s">
        <v>32</v>
      </c>
      <c r="N29" s="214" t="str">
        <f>IF(N18="","",(N18+N22+N26)/3)</f>
        <v/>
      </c>
      <c r="O29" s="215"/>
    </row>
    <row r="30" spans="1:15" ht="16.5" thickTop="1" thickBot="1">
      <c r="A30" s="71" t="s">
        <v>33</v>
      </c>
      <c r="B30" s="72"/>
      <c r="C30" s="66"/>
      <c r="D30" s="66"/>
      <c r="E30" s="66"/>
      <c r="F30" s="73" t="s">
        <v>34</v>
      </c>
      <c r="G30" s="66"/>
      <c r="H30" s="66"/>
      <c r="I30" s="66"/>
      <c r="J30" s="66"/>
      <c r="K30" s="74" t="s">
        <v>35</v>
      </c>
      <c r="L30" s="75" t="str">
        <f>IF(D32=3,N33,IF(D32=2,N32,""))</f>
        <v/>
      </c>
      <c r="M30" s="76" t="s">
        <v>36</v>
      </c>
      <c r="N30" s="214" t="str">
        <f>IF(L30="","",N29*L30)</f>
        <v/>
      </c>
      <c r="O30" s="215"/>
    </row>
    <row r="31" spans="1:15" ht="16.5" thickTop="1">
      <c r="A31" s="216" t="s">
        <v>15</v>
      </c>
      <c r="B31" s="217"/>
      <c r="C31" s="218"/>
      <c r="D31" s="77">
        <f>COUNT(A15:A26)</f>
        <v>3</v>
      </c>
      <c r="E31" s="219" t="s">
        <v>37</v>
      </c>
      <c r="F31" s="220"/>
      <c r="G31" s="221" t="s">
        <v>38</v>
      </c>
      <c r="H31" s="222"/>
      <c r="I31" s="183" t="s">
        <v>39</v>
      </c>
      <c r="J31" s="183"/>
      <c r="K31" s="223" t="s">
        <v>40</v>
      </c>
      <c r="L31" s="222"/>
      <c r="M31" s="78" t="s">
        <v>41</v>
      </c>
      <c r="N31" s="79" t="s">
        <v>42</v>
      </c>
      <c r="O31" s="80"/>
    </row>
    <row r="32" spans="1:15">
      <c r="A32" s="196" t="s">
        <v>43</v>
      </c>
      <c r="B32" s="197"/>
      <c r="C32" s="198"/>
      <c r="D32" s="81">
        <f>COUNT(C15:C17)</f>
        <v>0</v>
      </c>
      <c r="E32" s="199" t="s">
        <v>44</v>
      </c>
      <c r="F32" s="200"/>
      <c r="G32" s="201">
        <v>2</v>
      </c>
      <c r="H32" s="202"/>
      <c r="I32" s="203">
        <v>0.70709999999999995</v>
      </c>
      <c r="J32" s="203"/>
      <c r="K32" s="204">
        <v>2</v>
      </c>
      <c r="L32" s="202"/>
      <c r="M32" s="82">
        <v>0.88619999999999999</v>
      </c>
      <c r="N32" s="83">
        <v>3.27</v>
      </c>
      <c r="O32" s="84"/>
    </row>
    <row r="33" spans="1:15" ht="15.75" thickBot="1">
      <c r="A33" s="205" t="s">
        <v>45</v>
      </c>
      <c r="B33" s="206"/>
      <c r="C33" s="207"/>
      <c r="D33" s="85">
        <f>COUNT(C15:L15)</f>
        <v>0</v>
      </c>
      <c r="E33" s="208" t="s">
        <v>46</v>
      </c>
      <c r="F33" s="209"/>
      <c r="G33" s="210">
        <v>3</v>
      </c>
      <c r="H33" s="211"/>
      <c r="I33" s="212">
        <v>0.52310000000000001</v>
      </c>
      <c r="J33" s="212"/>
      <c r="K33" s="213">
        <v>3</v>
      </c>
      <c r="L33" s="211"/>
      <c r="M33" s="86">
        <v>0.59079999999999999</v>
      </c>
      <c r="N33" s="87">
        <v>2.58</v>
      </c>
      <c r="O33" s="88"/>
    </row>
    <row r="34" spans="1:15" ht="15.75" thickTop="1">
      <c r="A34" s="182" t="s">
        <v>47</v>
      </c>
      <c r="B34" s="183"/>
      <c r="C34" s="89">
        <v>2</v>
      </c>
      <c r="D34" s="90">
        <v>3</v>
      </c>
      <c r="E34" s="89">
        <v>4</v>
      </c>
      <c r="F34" s="90">
        <v>5</v>
      </c>
      <c r="G34" s="89">
        <v>6</v>
      </c>
      <c r="H34" s="90">
        <v>7</v>
      </c>
      <c r="I34" s="89">
        <v>8</v>
      </c>
      <c r="J34" s="89">
        <v>9</v>
      </c>
      <c r="K34" s="78">
        <v>10</v>
      </c>
      <c r="L34" s="91"/>
      <c r="M34" s="92"/>
      <c r="N34" s="92"/>
      <c r="O34" s="93"/>
    </row>
    <row r="35" spans="1:15" ht="16.5" thickBot="1">
      <c r="A35" s="184" t="s">
        <v>48</v>
      </c>
      <c r="B35" s="185"/>
      <c r="C35" s="94">
        <v>0.70709999999999995</v>
      </c>
      <c r="D35" s="95">
        <v>0.52310000000000001</v>
      </c>
      <c r="E35" s="95">
        <v>0.44669999999999999</v>
      </c>
      <c r="F35" s="95">
        <v>0.40300000000000002</v>
      </c>
      <c r="G35" s="95">
        <v>0.37419999999999998</v>
      </c>
      <c r="H35" s="95">
        <v>0.35339999999999999</v>
      </c>
      <c r="I35" s="95">
        <v>0.33750000000000002</v>
      </c>
      <c r="J35" s="95">
        <v>0.32490000000000002</v>
      </c>
      <c r="K35" s="96">
        <v>0.31459999999999999</v>
      </c>
      <c r="L35" s="97"/>
      <c r="M35" s="98"/>
      <c r="N35" s="98"/>
      <c r="O35" s="99"/>
    </row>
    <row r="36" spans="1:15" ht="35.25" customHeight="1" thickTop="1" thickBot="1">
      <c r="A36" s="186" t="s">
        <v>49</v>
      </c>
      <c r="B36" s="187"/>
      <c r="C36" s="187"/>
      <c r="D36" s="187"/>
      <c r="E36" s="187"/>
      <c r="F36" s="187"/>
      <c r="G36" s="187"/>
      <c r="H36" s="187"/>
      <c r="I36" s="187"/>
      <c r="J36" s="187"/>
      <c r="K36" s="187"/>
      <c r="L36" s="187"/>
      <c r="M36" s="187"/>
      <c r="N36" s="187"/>
      <c r="O36" s="188"/>
    </row>
    <row r="37" spans="1:15" ht="15.75" customHeight="1" thickTop="1">
      <c r="A37" s="165" t="s">
        <v>50</v>
      </c>
      <c r="B37" s="190" t="s">
        <v>51</v>
      </c>
      <c r="C37" s="191"/>
      <c r="D37" s="190" t="s">
        <v>52</v>
      </c>
      <c r="E37" s="192"/>
      <c r="F37" s="191"/>
      <c r="G37" s="190" t="s">
        <v>53</v>
      </c>
      <c r="H37" s="192"/>
      <c r="I37" s="191"/>
      <c r="J37" s="190" t="s">
        <v>54</v>
      </c>
      <c r="K37" s="192"/>
      <c r="L37" s="191"/>
      <c r="M37" s="193" t="s">
        <v>55</v>
      </c>
      <c r="N37" s="194"/>
      <c r="O37" s="195"/>
    </row>
    <row r="38" spans="1:15" ht="23.25">
      <c r="A38" s="189"/>
      <c r="B38" s="176" t="s">
        <v>56</v>
      </c>
      <c r="C38" s="178"/>
      <c r="D38" s="176" t="s">
        <v>57</v>
      </c>
      <c r="E38" s="177"/>
      <c r="F38" s="178"/>
      <c r="G38" s="176" t="s">
        <v>58</v>
      </c>
      <c r="H38" s="177"/>
      <c r="I38" s="178"/>
      <c r="J38" s="176" t="s">
        <v>59</v>
      </c>
      <c r="K38" s="177"/>
      <c r="L38" s="178"/>
      <c r="M38" s="176" t="s">
        <v>60</v>
      </c>
      <c r="N38" s="177"/>
      <c r="O38" s="179"/>
    </row>
    <row r="39" spans="1:15" ht="16.5" thickBot="1">
      <c r="A39" s="166"/>
      <c r="B39" s="100" t="s">
        <v>61</v>
      </c>
      <c r="C39" s="101" t="str">
        <f>IF(C15="","",IF(COUNT(C15:C17)&lt;3,N29*M32,N29*M33))</f>
        <v/>
      </c>
      <c r="D39" s="102" t="s">
        <v>62</v>
      </c>
      <c r="E39" s="103" t="str">
        <f>IF(C39="","",IF(POWER(N28*SUMIF(G32:H33,D31,I32:J33),2)-POWER(C39,2)/(D33*D32)&lt;0,"0.000",SQRT(POWER(N28*SUMIF(G32:H33,D31,I32:J33),2)-POWER(C39,2)/(D33*D32))))</f>
        <v/>
      </c>
      <c r="F39" s="104"/>
      <c r="G39" s="102" t="s">
        <v>63</v>
      </c>
      <c r="H39" s="105" t="str">
        <f>IF(E39="","",SQRT(POWER(C39,2)+POWER(E39,2)))</f>
        <v/>
      </c>
      <c r="I39" s="104"/>
      <c r="J39" s="102" t="s">
        <v>64</v>
      </c>
      <c r="K39" s="105" t="str">
        <f>IF(H39="","",N27*SUMIF(C34:K34,D33,C35:K35))</f>
        <v/>
      </c>
      <c r="L39" s="106"/>
      <c r="M39" s="107" t="s">
        <v>65</v>
      </c>
      <c r="N39" s="105" t="str">
        <f>IF(H39="","",SQRT(POWER(H39,2)+POWER(K39,2)))</f>
        <v/>
      </c>
      <c r="O39" s="99"/>
    </row>
    <row r="40" spans="1:15" ht="16.5" customHeight="1" thickTop="1">
      <c r="A40" s="165" t="s">
        <v>66</v>
      </c>
      <c r="B40" s="180" t="s">
        <v>67</v>
      </c>
      <c r="C40" s="181"/>
      <c r="D40" s="176" t="s">
        <v>68</v>
      </c>
      <c r="E40" s="177"/>
      <c r="F40" s="178"/>
      <c r="G40" s="176" t="s">
        <v>69</v>
      </c>
      <c r="H40" s="177"/>
      <c r="I40" s="178"/>
      <c r="J40" s="176" t="s">
        <v>70</v>
      </c>
      <c r="K40" s="177"/>
      <c r="L40" s="178"/>
      <c r="M40" s="176" t="s">
        <v>71</v>
      </c>
      <c r="N40" s="177"/>
      <c r="O40" s="178"/>
    </row>
    <row r="41" spans="1:15" ht="16.5" thickBot="1">
      <c r="A41" s="166"/>
      <c r="B41" s="100" t="s">
        <v>72</v>
      </c>
      <c r="C41" s="108" t="str">
        <f>IF(C39="","",C39/$N$39)</f>
        <v/>
      </c>
      <c r="D41" s="102" t="s">
        <v>73</v>
      </c>
      <c r="E41" s="109" t="str">
        <f>IF(E39="","",E39/$N$39)</f>
        <v/>
      </c>
      <c r="F41" s="104"/>
      <c r="G41" s="102" t="s">
        <v>74</v>
      </c>
      <c r="H41" s="109" t="str">
        <f>IF(H39="","",H39/$N$39)</f>
        <v/>
      </c>
      <c r="I41" s="104"/>
      <c r="J41" s="102" t="s">
        <v>75</v>
      </c>
      <c r="K41" s="109" t="str">
        <f>IF(K39="","",K39/$N$39)</f>
        <v/>
      </c>
      <c r="L41" s="106"/>
      <c r="M41" s="102" t="s">
        <v>76</v>
      </c>
      <c r="N41" s="110" t="e">
        <f>1.41*(K39/H39)</f>
        <v>#VALUE!</v>
      </c>
      <c r="O41" s="106"/>
    </row>
    <row r="42" spans="1:15" ht="16.5" customHeight="1" thickTop="1">
      <c r="A42" s="165" t="s">
        <v>77</v>
      </c>
      <c r="B42" s="167" t="s">
        <v>78</v>
      </c>
      <c r="C42" s="168"/>
      <c r="D42" s="169" t="s">
        <v>79</v>
      </c>
      <c r="E42" s="170"/>
      <c r="F42" s="171"/>
      <c r="G42" s="169" t="s">
        <v>80</v>
      </c>
      <c r="H42" s="170"/>
      <c r="I42" s="171"/>
      <c r="J42" s="111"/>
      <c r="K42" s="112"/>
      <c r="L42" s="113"/>
      <c r="M42" s="114"/>
      <c r="N42" s="115"/>
      <c r="O42" s="116"/>
    </row>
    <row r="43" spans="1:15" ht="16.5" thickBot="1">
      <c r="A43" s="166"/>
      <c r="B43" s="100" t="s">
        <v>72</v>
      </c>
      <c r="C43" s="117" t="str">
        <f>IF(C39="","",C39/($G$11/6))</f>
        <v/>
      </c>
      <c r="D43" s="102" t="s">
        <v>73</v>
      </c>
      <c r="E43" s="118" t="str">
        <f>IF(E39="","",E39/($G$11/6))</f>
        <v/>
      </c>
      <c r="F43" s="104"/>
      <c r="G43" s="102" t="s">
        <v>74</v>
      </c>
      <c r="H43" s="118" t="str">
        <f>IF(H39="","",H39/($G$11/6))</f>
        <v/>
      </c>
      <c r="I43" s="104"/>
      <c r="J43" s="102"/>
      <c r="K43" s="118"/>
      <c r="L43" s="106"/>
      <c r="M43" s="119"/>
      <c r="N43" s="98"/>
      <c r="O43" s="99"/>
    </row>
    <row r="44" spans="1:15" ht="16.5" thickTop="1" thickBot="1">
      <c r="A44" s="120" t="s">
        <v>81</v>
      </c>
      <c r="B44" s="121"/>
      <c r="C44" s="121"/>
      <c r="D44" s="121"/>
      <c r="E44" s="121"/>
      <c r="F44" s="121"/>
      <c r="G44" s="121"/>
      <c r="H44" s="121"/>
      <c r="I44" s="122" t="s">
        <v>82</v>
      </c>
      <c r="J44" s="121"/>
      <c r="K44" s="121"/>
      <c r="L44" s="121"/>
      <c r="M44" s="121"/>
      <c r="N44" s="121"/>
      <c r="O44" s="123"/>
    </row>
    <row r="45" spans="1:15" ht="15.75" customHeight="1" thickTop="1">
      <c r="A45" s="124"/>
      <c r="B45" s="125"/>
      <c r="C45" s="125"/>
      <c r="D45" s="125"/>
      <c r="E45" s="125"/>
      <c r="F45" s="125"/>
      <c r="G45" s="125"/>
      <c r="H45" s="125"/>
      <c r="I45" s="172" t="s">
        <v>83</v>
      </c>
      <c r="J45" s="173"/>
      <c r="K45" s="174" t="s">
        <v>84</v>
      </c>
      <c r="L45" s="174"/>
      <c r="M45" s="174"/>
      <c r="N45" s="174"/>
      <c r="O45" s="175"/>
    </row>
    <row r="46" spans="1:15" ht="18" customHeight="1">
      <c r="A46" s="124"/>
      <c r="B46" s="125"/>
      <c r="C46" s="125"/>
      <c r="D46" s="125"/>
      <c r="E46" s="125"/>
      <c r="F46" s="125"/>
      <c r="G46" s="125"/>
      <c r="H46" s="125"/>
      <c r="I46" s="153" t="s">
        <v>85</v>
      </c>
      <c r="J46" s="154"/>
      <c r="K46" s="155" t="s">
        <v>86</v>
      </c>
      <c r="L46" s="155"/>
      <c r="M46" s="155"/>
      <c r="N46" s="155"/>
      <c r="O46" s="156"/>
    </row>
    <row r="47" spans="1:15" ht="25.5" customHeight="1">
      <c r="A47" s="124"/>
      <c r="B47" s="125"/>
      <c r="C47" s="125"/>
      <c r="D47" s="125"/>
      <c r="E47" s="125"/>
      <c r="F47" s="125"/>
      <c r="G47" s="125"/>
      <c r="H47" s="125"/>
      <c r="I47" s="157" t="s">
        <v>87</v>
      </c>
      <c r="J47" s="158"/>
      <c r="K47" s="159" t="s">
        <v>88</v>
      </c>
      <c r="L47" s="159"/>
      <c r="M47" s="159"/>
      <c r="N47" s="159"/>
      <c r="O47" s="160"/>
    </row>
    <row r="48" spans="1:15" ht="29.25" customHeight="1" thickBot="1">
      <c r="A48" s="124"/>
      <c r="B48" s="125"/>
      <c r="C48" s="125"/>
      <c r="D48" s="125"/>
      <c r="E48" s="125"/>
      <c r="F48" s="125"/>
      <c r="G48" s="125"/>
      <c r="H48" s="125"/>
      <c r="I48" s="161" t="s">
        <v>89</v>
      </c>
      <c r="J48" s="162"/>
      <c r="K48" s="163" t="s">
        <v>90</v>
      </c>
      <c r="L48" s="163"/>
      <c r="M48" s="163"/>
      <c r="N48" s="163"/>
      <c r="O48" s="164"/>
    </row>
    <row r="49" spans="1:15" ht="15.75" thickTop="1">
      <c r="A49" s="124"/>
      <c r="B49" s="125"/>
      <c r="C49" s="125"/>
      <c r="D49" s="125"/>
      <c r="E49" s="125"/>
      <c r="F49" s="125"/>
      <c r="G49" s="125"/>
      <c r="H49" s="125"/>
      <c r="I49" s="142" t="s">
        <v>91</v>
      </c>
      <c r="J49" s="143"/>
      <c r="K49" s="143"/>
      <c r="L49" s="143"/>
      <c r="M49" s="143"/>
      <c r="N49" s="143"/>
      <c r="O49" s="144"/>
    </row>
    <row r="50" spans="1:15">
      <c r="A50" s="124"/>
      <c r="B50" s="125"/>
      <c r="C50" s="125"/>
      <c r="D50" s="125"/>
      <c r="E50" s="125"/>
      <c r="F50" s="125"/>
      <c r="G50" s="145"/>
      <c r="H50" s="146"/>
      <c r="I50" s="147" t="s">
        <v>92</v>
      </c>
      <c r="J50" s="148"/>
      <c r="K50" s="148"/>
      <c r="L50" s="148"/>
      <c r="M50" s="148"/>
      <c r="N50" s="148"/>
      <c r="O50" s="149"/>
    </row>
    <row r="51" spans="1:15" ht="15" customHeight="1">
      <c r="A51" s="124"/>
      <c r="B51" s="125"/>
      <c r="C51" s="125"/>
      <c r="D51" s="125"/>
      <c r="E51" s="125"/>
      <c r="F51" s="125"/>
      <c r="G51" s="126"/>
      <c r="H51" s="127"/>
      <c r="I51" s="150" t="s">
        <v>93</v>
      </c>
      <c r="J51" s="151"/>
      <c r="K51" s="151"/>
      <c r="L51" s="151"/>
      <c r="M51" s="151"/>
      <c r="N51" s="151"/>
      <c r="O51" s="152"/>
    </row>
    <row r="52" spans="1:15">
      <c r="A52" s="124"/>
      <c r="B52" s="125"/>
      <c r="C52" s="125"/>
      <c r="D52" s="125"/>
      <c r="E52" s="125"/>
      <c r="F52" s="125"/>
      <c r="G52" s="126"/>
      <c r="H52" s="127"/>
      <c r="I52" s="136" t="s">
        <v>94</v>
      </c>
      <c r="J52" s="137"/>
      <c r="K52" s="137"/>
      <c r="L52" s="137"/>
      <c r="M52" s="137"/>
      <c r="N52" s="137"/>
      <c r="O52" s="138"/>
    </row>
    <row r="53" spans="1:15">
      <c r="A53" s="124"/>
      <c r="B53" s="125"/>
      <c r="C53" s="125"/>
      <c r="D53" s="125"/>
      <c r="E53" s="125"/>
      <c r="F53" s="125"/>
      <c r="G53" s="126"/>
      <c r="H53" s="127"/>
      <c r="I53" s="147" t="s">
        <v>95</v>
      </c>
      <c r="J53" s="148"/>
      <c r="K53" s="148"/>
      <c r="L53" s="148"/>
      <c r="M53" s="148"/>
      <c r="N53" s="148"/>
      <c r="O53" s="149"/>
    </row>
    <row r="54" spans="1:15">
      <c r="A54" s="124"/>
      <c r="B54" s="125"/>
      <c r="C54" s="125"/>
      <c r="D54" s="125"/>
      <c r="E54" s="125"/>
      <c r="F54" s="125"/>
      <c r="G54" s="126"/>
      <c r="H54" s="127"/>
      <c r="I54" s="136" t="s">
        <v>96</v>
      </c>
      <c r="J54" s="137"/>
      <c r="K54" s="137"/>
      <c r="L54" s="137"/>
      <c r="M54" s="137"/>
      <c r="N54" s="137"/>
      <c r="O54" s="138"/>
    </row>
    <row r="55" spans="1:15" ht="15.75" thickBot="1">
      <c r="A55" s="128"/>
      <c r="B55" s="129"/>
      <c r="C55" s="129"/>
      <c r="D55" s="129"/>
      <c r="E55" s="129"/>
      <c r="F55" s="129"/>
      <c r="G55" s="130"/>
      <c r="H55" s="131"/>
      <c r="I55" s="139" t="s">
        <v>97</v>
      </c>
      <c r="J55" s="140"/>
      <c r="K55" s="140"/>
      <c r="L55" s="140"/>
      <c r="M55" s="140"/>
      <c r="N55" s="140"/>
      <c r="O55" s="141"/>
    </row>
    <row r="56" spans="1:15" ht="15.75" thickTop="1">
      <c r="A56" t="s">
        <v>108</v>
      </c>
    </row>
  </sheetData>
  <mergeCells count="87">
    <mergeCell ref="A1:O1"/>
    <mergeCell ref="A2:N2"/>
    <mergeCell ref="A3:C3"/>
    <mergeCell ref="J3:O3"/>
    <mergeCell ref="D4:I4"/>
    <mergeCell ref="J4:K4"/>
    <mergeCell ref="L4:M4"/>
    <mergeCell ref="N4:O4"/>
    <mergeCell ref="A13:A14"/>
    <mergeCell ref="B13:B14"/>
    <mergeCell ref="C13:L13"/>
    <mergeCell ref="M13:M14"/>
    <mergeCell ref="N13:O14"/>
    <mergeCell ref="D9:I9"/>
    <mergeCell ref="E11:F11"/>
    <mergeCell ref="J11:K11"/>
    <mergeCell ref="L11:M11"/>
    <mergeCell ref="N11:O11"/>
    <mergeCell ref="N28:O28"/>
    <mergeCell ref="A15:A17"/>
    <mergeCell ref="N16:O16"/>
    <mergeCell ref="N18:O18"/>
    <mergeCell ref="A19:A21"/>
    <mergeCell ref="N20:O20"/>
    <mergeCell ref="N22:O22"/>
    <mergeCell ref="A23:A25"/>
    <mergeCell ref="N24:O24"/>
    <mergeCell ref="N26:O26"/>
    <mergeCell ref="A27:B27"/>
    <mergeCell ref="N27:O27"/>
    <mergeCell ref="N29:O29"/>
    <mergeCell ref="N30:O30"/>
    <mergeCell ref="A31:C31"/>
    <mergeCell ref="E31:F31"/>
    <mergeCell ref="G31:H31"/>
    <mergeCell ref="I31:J31"/>
    <mergeCell ref="K31:L31"/>
    <mergeCell ref="A33:C33"/>
    <mergeCell ref="E33:F33"/>
    <mergeCell ref="G33:H33"/>
    <mergeCell ref="I33:J33"/>
    <mergeCell ref="K33:L33"/>
    <mergeCell ref="A32:C32"/>
    <mergeCell ref="E32:F32"/>
    <mergeCell ref="G32:H32"/>
    <mergeCell ref="I32:J32"/>
    <mergeCell ref="K32:L32"/>
    <mergeCell ref="A34:B34"/>
    <mergeCell ref="A35:B35"/>
    <mergeCell ref="A36:O36"/>
    <mergeCell ref="A37:A39"/>
    <mergeCell ref="B37:C37"/>
    <mergeCell ref="D37:F37"/>
    <mergeCell ref="G37:I37"/>
    <mergeCell ref="J37:L37"/>
    <mergeCell ref="M37:O37"/>
    <mergeCell ref="B38:C38"/>
    <mergeCell ref="A40:A41"/>
    <mergeCell ref="B40:C40"/>
    <mergeCell ref="D40:F40"/>
    <mergeCell ref="G40:I40"/>
    <mergeCell ref="J40:L40"/>
    <mergeCell ref="K45:O45"/>
    <mergeCell ref="D38:F38"/>
    <mergeCell ref="G38:I38"/>
    <mergeCell ref="J38:L38"/>
    <mergeCell ref="M38:O38"/>
    <mergeCell ref="M40:O40"/>
    <mergeCell ref="A42:A43"/>
    <mergeCell ref="B42:C42"/>
    <mergeCell ref="D42:F42"/>
    <mergeCell ref="G42:I42"/>
    <mergeCell ref="I45:J45"/>
    <mergeCell ref="I46:J46"/>
    <mergeCell ref="K46:O46"/>
    <mergeCell ref="I47:J47"/>
    <mergeCell ref="K47:O47"/>
    <mergeCell ref="I48:J48"/>
    <mergeCell ref="K48:O48"/>
    <mergeCell ref="I54:O54"/>
    <mergeCell ref="I55:O55"/>
    <mergeCell ref="I49:O49"/>
    <mergeCell ref="G50:H50"/>
    <mergeCell ref="I50:O50"/>
    <mergeCell ref="I51:O51"/>
    <mergeCell ref="I52:O52"/>
    <mergeCell ref="I53:O53"/>
  </mergeCells>
  <pageMargins left="0" right="0" top="0" bottom="0" header="0" footer="0"/>
  <pageSetup scale="77"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56"/>
  <sheetViews>
    <sheetView workbookViewId="0">
      <selection activeCell="A56" sqref="A56"/>
    </sheetView>
  </sheetViews>
  <sheetFormatPr defaultRowHeight="15"/>
  <sheetData>
    <row r="1" spans="1:15" ht="18.75">
      <c r="A1" s="254" t="s">
        <v>0</v>
      </c>
      <c r="B1" s="254"/>
      <c r="C1" s="254"/>
      <c r="D1" s="254"/>
      <c r="E1" s="254"/>
      <c r="F1" s="254"/>
      <c r="G1" s="254"/>
      <c r="H1" s="254"/>
      <c r="I1" s="254"/>
      <c r="J1" s="254"/>
      <c r="K1" s="254"/>
      <c r="L1" s="254"/>
      <c r="M1" s="254"/>
      <c r="N1" s="254"/>
      <c r="O1" s="254"/>
    </row>
    <row r="2" spans="1:15" ht="16.5" thickBot="1">
      <c r="A2" s="255" t="s">
        <v>1</v>
      </c>
      <c r="B2" s="255"/>
      <c r="C2" s="255"/>
      <c r="D2" s="255"/>
      <c r="E2" s="255"/>
      <c r="F2" s="255"/>
      <c r="G2" s="255"/>
      <c r="H2" s="255"/>
      <c r="I2" s="255"/>
      <c r="J2" s="255"/>
      <c r="K2" s="255"/>
      <c r="L2" s="255"/>
      <c r="M2" s="255"/>
      <c r="N2" s="255"/>
      <c r="O2" s="1"/>
    </row>
    <row r="3" spans="1:15" ht="16.5" thickBot="1">
      <c r="A3" s="256"/>
      <c r="B3" s="256"/>
      <c r="C3" s="256"/>
      <c r="D3" s="1"/>
      <c r="E3" s="1"/>
      <c r="F3" s="1"/>
      <c r="G3" s="1"/>
      <c r="H3" s="2"/>
      <c r="I3" s="2"/>
      <c r="J3" s="257" t="s">
        <v>2</v>
      </c>
      <c r="K3" s="258"/>
      <c r="L3" s="258"/>
      <c r="M3" s="258"/>
      <c r="N3" s="258"/>
      <c r="O3" s="259"/>
    </row>
    <row r="4" spans="1:15" ht="16.5" thickBot="1">
      <c r="A4" s="3" t="s">
        <v>3</v>
      </c>
      <c r="B4" s="4"/>
      <c r="C4" s="5"/>
      <c r="D4" s="260">
        <v>45279</v>
      </c>
      <c r="E4" s="261"/>
      <c r="F4" s="261"/>
      <c r="G4" s="261"/>
      <c r="H4" s="261"/>
      <c r="I4" s="262"/>
      <c r="J4" s="241" t="s">
        <v>4</v>
      </c>
      <c r="K4" s="242"/>
      <c r="L4" s="241" t="s">
        <v>5</v>
      </c>
      <c r="M4" s="242"/>
      <c r="N4" s="241" t="s">
        <v>6</v>
      </c>
      <c r="O4" s="242"/>
    </row>
    <row r="5" spans="1:15" ht="15.75">
      <c r="A5" s="6" t="s">
        <v>102</v>
      </c>
      <c r="B5" s="7"/>
      <c r="C5" s="8"/>
      <c r="D5" s="132" t="s">
        <v>103</v>
      </c>
      <c r="E5" s="132"/>
      <c r="F5" s="132"/>
      <c r="G5" s="132"/>
      <c r="H5" s="132"/>
      <c r="I5" s="132"/>
      <c r="J5" s="133"/>
      <c r="K5" s="134"/>
      <c r="L5" s="135"/>
      <c r="M5" s="134"/>
      <c r="N5" s="135"/>
      <c r="O5" s="134"/>
    </row>
    <row r="6" spans="1:15" ht="15.75">
      <c r="A6" s="6" t="s">
        <v>7</v>
      </c>
      <c r="B6" s="7"/>
      <c r="C6" s="8"/>
      <c r="D6" s="9" t="s">
        <v>104</v>
      </c>
      <c r="E6" s="9"/>
      <c r="F6" s="10"/>
      <c r="G6" s="10"/>
      <c r="H6" s="11"/>
      <c r="I6" s="12"/>
      <c r="J6" s="13"/>
      <c r="K6" s="14"/>
      <c r="L6" s="1"/>
      <c r="M6" s="14"/>
      <c r="N6" s="1"/>
      <c r="O6" s="14"/>
    </row>
    <row r="7" spans="1:15" ht="15.75">
      <c r="A7" s="6" t="s">
        <v>8</v>
      </c>
      <c r="B7" s="7"/>
      <c r="C7" s="8"/>
      <c r="D7" s="9" t="s">
        <v>106</v>
      </c>
      <c r="E7" s="9"/>
      <c r="F7" s="9"/>
      <c r="G7" s="9"/>
      <c r="H7" s="9"/>
      <c r="I7" s="15"/>
      <c r="J7" s="13"/>
      <c r="K7" s="14"/>
      <c r="L7" s="1"/>
      <c r="M7" s="14"/>
      <c r="N7" s="1"/>
      <c r="O7" s="14"/>
    </row>
    <row r="8" spans="1:15" ht="15.75">
      <c r="A8" s="6" t="s">
        <v>9</v>
      </c>
      <c r="B8" s="7"/>
      <c r="C8" s="8"/>
      <c r="D8" s="16" t="s">
        <v>105</v>
      </c>
      <c r="E8" s="17"/>
      <c r="F8" s="16"/>
      <c r="G8" s="16"/>
      <c r="H8" s="16"/>
      <c r="I8" s="18"/>
      <c r="J8" s="13"/>
      <c r="K8" s="14"/>
      <c r="L8" s="1"/>
      <c r="M8" s="14"/>
      <c r="N8" s="1"/>
      <c r="O8" s="14"/>
    </row>
    <row r="9" spans="1:15" ht="15.75">
      <c r="A9" s="6" t="s">
        <v>10</v>
      </c>
      <c r="B9" s="19"/>
      <c r="C9" s="20"/>
      <c r="D9" s="237" t="s">
        <v>98</v>
      </c>
      <c r="E9" s="238"/>
      <c r="F9" s="238"/>
      <c r="G9" s="238"/>
      <c r="H9" s="238"/>
      <c r="I9" s="239"/>
      <c r="J9" s="13"/>
      <c r="K9" s="14"/>
      <c r="L9" s="1"/>
      <c r="M9" s="14"/>
      <c r="N9" s="1"/>
      <c r="O9" s="14"/>
    </row>
    <row r="10" spans="1:15" ht="16.5" thickBot="1">
      <c r="A10" s="21"/>
      <c r="B10" s="22"/>
      <c r="C10" s="23"/>
      <c r="D10" s="24"/>
      <c r="E10" s="25"/>
      <c r="F10" s="25"/>
      <c r="G10" s="26"/>
      <c r="H10" s="26"/>
      <c r="I10" s="27"/>
      <c r="J10" s="28"/>
      <c r="K10" s="29"/>
      <c r="L10" s="2"/>
      <c r="M10" s="29"/>
      <c r="N10" s="2"/>
      <c r="O10" s="29"/>
    </row>
    <row r="11" spans="1:15" ht="16.5" thickBot="1">
      <c r="A11" s="30" t="s">
        <v>11</v>
      </c>
      <c r="B11" s="31">
        <v>6.5</v>
      </c>
      <c r="C11" s="32" t="s">
        <v>12</v>
      </c>
      <c r="D11" s="31">
        <v>7.5</v>
      </c>
      <c r="E11" s="240" t="s">
        <v>13</v>
      </c>
      <c r="F11" s="240"/>
      <c r="G11" s="33">
        <f>(D11-B11)/2</f>
        <v>0.5</v>
      </c>
      <c r="H11" s="34" t="s">
        <v>14</v>
      </c>
      <c r="I11" s="35"/>
      <c r="J11" s="241"/>
      <c r="K11" s="242"/>
      <c r="L11" s="241"/>
      <c r="M11" s="242"/>
      <c r="N11" s="241"/>
      <c r="O11" s="242"/>
    </row>
    <row r="12" spans="1:15" ht="16.5" thickBot="1">
      <c r="A12" s="1"/>
      <c r="B12" s="1"/>
      <c r="C12" s="1"/>
      <c r="D12" s="1"/>
      <c r="E12" s="1"/>
      <c r="F12" s="1"/>
      <c r="G12" s="1"/>
      <c r="H12" s="1"/>
      <c r="I12" s="1"/>
      <c r="J12" s="1"/>
      <c r="K12" s="1"/>
      <c r="L12" s="1"/>
      <c r="M12" s="1"/>
      <c r="N12" s="1"/>
      <c r="O12" s="1"/>
    </row>
    <row r="13" spans="1:15" ht="15.75" customHeight="1" thickTop="1">
      <c r="A13" s="243" t="s">
        <v>15</v>
      </c>
      <c r="B13" s="245" t="s">
        <v>16</v>
      </c>
      <c r="C13" s="247" t="s">
        <v>17</v>
      </c>
      <c r="D13" s="248"/>
      <c r="E13" s="248"/>
      <c r="F13" s="248"/>
      <c r="G13" s="248"/>
      <c r="H13" s="248"/>
      <c r="I13" s="248"/>
      <c r="J13" s="248"/>
      <c r="K13" s="248"/>
      <c r="L13" s="249"/>
      <c r="M13" s="250" t="s">
        <v>18</v>
      </c>
      <c r="N13" s="250" t="s">
        <v>19</v>
      </c>
      <c r="O13" s="252"/>
    </row>
    <row r="14" spans="1:15">
      <c r="A14" s="244"/>
      <c r="B14" s="246"/>
      <c r="C14" s="36">
        <v>1</v>
      </c>
      <c r="D14" s="36">
        <v>2</v>
      </c>
      <c r="E14" s="36">
        <v>3</v>
      </c>
      <c r="F14" s="36">
        <v>4</v>
      </c>
      <c r="G14" s="36">
        <v>5</v>
      </c>
      <c r="H14" s="36">
        <v>6</v>
      </c>
      <c r="I14" s="36">
        <v>7</v>
      </c>
      <c r="J14" s="36">
        <v>8</v>
      </c>
      <c r="K14" s="36">
        <v>9</v>
      </c>
      <c r="L14" s="36">
        <v>10</v>
      </c>
      <c r="M14" s="251"/>
      <c r="N14" s="251"/>
      <c r="O14" s="253"/>
    </row>
    <row r="15" spans="1:15">
      <c r="A15" s="226" t="s">
        <v>99</v>
      </c>
      <c r="B15" s="37">
        <v>1</v>
      </c>
      <c r="C15" s="38">
        <v>7.1</v>
      </c>
      <c r="D15" s="38">
        <v>7.1</v>
      </c>
      <c r="E15" s="38">
        <v>7.1</v>
      </c>
      <c r="F15" s="38">
        <v>7.1</v>
      </c>
      <c r="G15" s="38">
        <v>7.1</v>
      </c>
      <c r="H15" s="38">
        <v>7.07</v>
      </c>
      <c r="I15" s="38">
        <v>7.1</v>
      </c>
      <c r="J15" s="38">
        <v>7.1</v>
      </c>
      <c r="K15" s="38">
        <v>7.08</v>
      </c>
      <c r="L15" s="38">
        <v>7.1</v>
      </c>
      <c r="M15" s="39">
        <f>IF(C15="","",AVERAGE(C15:L15))</f>
        <v>7.0950000000000006</v>
      </c>
      <c r="N15" s="40" t="s">
        <v>20</v>
      </c>
      <c r="O15" s="41"/>
    </row>
    <row r="16" spans="1:15">
      <c r="A16" s="227"/>
      <c r="B16" s="42">
        <v>2</v>
      </c>
      <c r="C16" s="38">
        <v>7.1</v>
      </c>
      <c r="D16" s="38">
        <v>7.1</v>
      </c>
      <c r="E16" s="38">
        <v>7.1</v>
      </c>
      <c r="F16" s="38">
        <v>7.1</v>
      </c>
      <c r="G16" s="38">
        <v>7.07</v>
      </c>
      <c r="H16" s="38">
        <v>7.08</v>
      </c>
      <c r="I16" s="38">
        <v>7.1</v>
      </c>
      <c r="J16" s="38">
        <v>7.1</v>
      </c>
      <c r="K16" s="38">
        <v>7.08</v>
      </c>
      <c r="L16" s="38">
        <v>7.1</v>
      </c>
      <c r="M16" s="43">
        <f>IF(C16="","",AVERAGE(C16:L16))</f>
        <v>7.0929999999999991</v>
      </c>
      <c r="N16" s="228">
        <f>IF(COUNT(C15:L17)=0,"",AVERAGE(C15:L17))</f>
        <v>7.0920000000000005</v>
      </c>
      <c r="O16" s="229"/>
    </row>
    <row r="17" spans="1:15">
      <c r="A17" s="227"/>
      <c r="B17" s="44">
        <v>3</v>
      </c>
      <c r="C17" s="38">
        <v>7.1</v>
      </c>
      <c r="D17" s="38">
        <v>7.08</v>
      </c>
      <c r="E17" s="38">
        <v>7.1</v>
      </c>
      <c r="F17" s="38">
        <v>7.09</v>
      </c>
      <c r="G17" s="38">
        <v>7.08</v>
      </c>
      <c r="H17" s="38">
        <v>7.08</v>
      </c>
      <c r="I17" s="38">
        <v>7.08</v>
      </c>
      <c r="J17" s="38">
        <v>7.1</v>
      </c>
      <c r="K17" s="38">
        <v>7.08</v>
      </c>
      <c r="L17" s="38">
        <v>7.09</v>
      </c>
      <c r="M17" s="45">
        <f>IF(C17="","",AVERAGE(C17:L17))</f>
        <v>7.0879999999999992</v>
      </c>
      <c r="N17" s="46"/>
      <c r="O17" s="47"/>
    </row>
    <row r="18" spans="1:15" ht="15.75" thickBot="1">
      <c r="A18" s="48">
        <v>1</v>
      </c>
      <c r="B18" s="49" t="s">
        <v>21</v>
      </c>
      <c r="C18" s="50">
        <f>IF(COUNT(C15:C17)&lt;2,"",MAX(C15:C17)-MIN(C15:C17))</f>
        <v>0</v>
      </c>
      <c r="D18" s="50">
        <f t="shared" ref="D18:K18" si="0">IF(COUNT(D15:D17)&lt;2,"",MAX(D15:D17)-MIN(D15:D17))</f>
        <v>1.9999999999999574E-2</v>
      </c>
      <c r="E18" s="50">
        <f t="shared" si="0"/>
        <v>0</v>
      </c>
      <c r="F18" s="50">
        <f t="shared" si="0"/>
        <v>9.9999999999997868E-3</v>
      </c>
      <c r="G18" s="50">
        <f>IF(COUNT(G15:G17)&lt;2,"",MAX(G15:G17)-MIN(G15:G17))</f>
        <v>2.9999999999999361E-2</v>
      </c>
      <c r="H18" s="50">
        <f t="shared" si="0"/>
        <v>9.9999999999997868E-3</v>
      </c>
      <c r="I18" s="50">
        <f t="shared" si="0"/>
        <v>1.9999999999999574E-2</v>
      </c>
      <c r="J18" s="50">
        <f t="shared" si="0"/>
        <v>0</v>
      </c>
      <c r="K18" s="50">
        <f t="shared" si="0"/>
        <v>0</v>
      </c>
      <c r="L18" s="50">
        <f>IF(COUNT(L15:L17)&lt;2,"",MAX(L15:L17)-MIN(L15:L17))</f>
        <v>9.9999999999997868E-3</v>
      </c>
      <c r="M18" s="51" t="s">
        <v>22</v>
      </c>
      <c r="N18" s="230">
        <f>IF(COUNT(C18:L18)=0,"",AVERAGE(C18:L18))</f>
        <v>9.9999999999997868E-3</v>
      </c>
      <c r="O18" s="231"/>
    </row>
    <row r="19" spans="1:15" ht="15.75" customHeight="1" thickTop="1">
      <c r="A19" s="232" t="s">
        <v>100</v>
      </c>
      <c r="B19" s="52">
        <v>1</v>
      </c>
      <c r="C19" s="38">
        <v>7.1</v>
      </c>
      <c r="D19" s="38">
        <v>7.08</v>
      </c>
      <c r="E19" s="38">
        <v>7.09</v>
      </c>
      <c r="F19" s="38">
        <v>7.08</v>
      </c>
      <c r="G19" s="38">
        <v>7.1</v>
      </c>
      <c r="H19" s="38">
        <v>7.08</v>
      </c>
      <c r="I19" s="38">
        <v>7.09</v>
      </c>
      <c r="J19" s="38">
        <v>7.1</v>
      </c>
      <c r="K19" s="38">
        <v>7.08</v>
      </c>
      <c r="L19" s="38">
        <v>7.1</v>
      </c>
      <c r="M19" s="53">
        <f>IF(C19="","",AVERAGE(C19:L19))</f>
        <v>7.0900000000000007</v>
      </c>
      <c r="N19" s="54" t="s">
        <v>23</v>
      </c>
      <c r="O19" s="55"/>
    </row>
    <row r="20" spans="1:15">
      <c r="A20" s="227"/>
      <c r="B20" s="42">
        <v>2</v>
      </c>
      <c r="C20" s="38">
        <v>7.1</v>
      </c>
      <c r="D20" s="38">
        <v>7.1</v>
      </c>
      <c r="E20" s="38">
        <v>7.1</v>
      </c>
      <c r="F20" s="38">
        <v>7.09</v>
      </c>
      <c r="G20" s="38">
        <v>7.08</v>
      </c>
      <c r="H20" s="38">
        <v>7.08</v>
      </c>
      <c r="I20" s="38">
        <v>7.09</v>
      </c>
      <c r="J20" s="38">
        <v>7.09</v>
      </c>
      <c r="K20" s="38">
        <v>7.08</v>
      </c>
      <c r="L20" s="38">
        <v>7.1</v>
      </c>
      <c r="M20" s="56">
        <f>IF(C20="","",AVERAGE(C20:L20))</f>
        <v>7.0909999999999993</v>
      </c>
      <c r="N20" s="228">
        <f>IF(COUNT(C19:L21)=0,"",AVERAGE(C19:L21))</f>
        <v>7.0923333333333325</v>
      </c>
      <c r="O20" s="229"/>
    </row>
    <row r="21" spans="1:15">
      <c r="A21" s="227"/>
      <c r="B21" s="44">
        <v>3</v>
      </c>
      <c r="C21" s="38">
        <v>7.1</v>
      </c>
      <c r="D21" s="38">
        <v>7.1</v>
      </c>
      <c r="E21" s="38">
        <v>7.1</v>
      </c>
      <c r="F21" s="38">
        <v>7.09</v>
      </c>
      <c r="G21" s="38">
        <v>7.1</v>
      </c>
      <c r="H21" s="38">
        <v>7.1</v>
      </c>
      <c r="I21" s="38">
        <v>7.08</v>
      </c>
      <c r="J21" s="38">
        <v>7.1</v>
      </c>
      <c r="K21" s="38">
        <v>7.09</v>
      </c>
      <c r="L21" s="38">
        <v>7.1</v>
      </c>
      <c r="M21" s="45">
        <f>IF(C21="","",AVERAGE(C21:L21))</f>
        <v>7.0959999999999992</v>
      </c>
      <c r="N21" s="57"/>
      <c r="O21" s="58"/>
    </row>
    <row r="22" spans="1:15" ht="15.75" thickBot="1">
      <c r="A22" s="48">
        <v>2</v>
      </c>
      <c r="B22" s="49" t="s">
        <v>21</v>
      </c>
      <c r="C22" s="50">
        <f>IF(COUNT(C19:C21)&lt;2,"",MAX(C19:C21)-MIN(C19:C21))</f>
        <v>0</v>
      </c>
      <c r="D22" s="50">
        <f>IF(COUNT(D19:D21)&lt;2,"",MAX(D19:D21)-MIN(D19:D21))</f>
        <v>1.9999999999999574E-2</v>
      </c>
      <c r="E22" s="50">
        <f t="shared" ref="E22:L22" si="1">IF(COUNT(E19:E21)&lt;2,"",MAX(E19:E21)-MIN(E19:E21))</f>
        <v>9.9999999999997868E-3</v>
      </c>
      <c r="F22" s="50">
        <f t="shared" si="1"/>
        <v>9.9999999999997868E-3</v>
      </c>
      <c r="G22" s="50">
        <f t="shared" si="1"/>
        <v>1.9999999999999574E-2</v>
      </c>
      <c r="H22" s="50">
        <f t="shared" si="1"/>
        <v>1.9999999999999574E-2</v>
      </c>
      <c r="I22" s="50">
        <f t="shared" si="1"/>
        <v>9.9999999999997868E-3</v>
      </c>
      <c r="J22" s="50">
        <f t="shared" si="1"/>
        <v>9.9999999999997868E-3</v>
      </c>
      <c r="K22" s="50">
        <f t="shared" si="1"/>
        <v>9.9999999999997868E-3</v>
      </c>
      <c r="L22" s="50">
        <f t="shared" si="1"/>
        <v>0</v>
      </c>
      <c r="M22" s="51" t="s">
        <v>24</v>
      </c>
      <c r="N22" s="230">
        <f>IF(COUNT(C22:L22)=0,"",AVERAGE(C22:L22))</f>
        <v>1.0999999999999765E-2</v>
      </c>
      <c r="O22" s="231"/>
    </row>
    <row r="23" spans="1:15" ht="15.75" thickTop="1">
      <c r="A23" s="232" t="s">
        <v>101</v>
      </c>
      <c r="B23" s="52">
        <v>1</v>
      </c>
      <c r="C23" s="38">
        <v>7.1</v>
      </c>
      <c r="D23" s="38">
        <v>7.08</v>
      </c>
      <c r="E23" s="38">
        <v>7.09</v>
      </c>
      <c r="F23" s="38">
        <v>7.1</v>
      </c>
      <c r="G23" s="38">
        <v>7.1</v>
      </c>
      <c r="H23" s="38">
        <v>7.09</v>
      </c>
      <c r="I23" s="38">
        <v>7.09</v>
      </c>
      <c r="J23" s="38">
        <v>7.1</v>
      </c>
      <c r="K23" s="38">
        <v>7.1</v>
      </c>
      <c r="L23" s="38">
        <v>7.1</v>
      </c>
      <c r="M23" s="53">
        <f>IF(C23="","",AVERAGE(C23:L23))</f>
        <v>7.0950000000000006</v>
      </c>
      <c r="N23" s="40" t="s">
        <v>25</v>
      </c>
      <c r="O23" s="59"/>
    </row>
    <row r="24" spans="1:15">
      <c r="A24" s="227"/>
      <c r="B24" s="42">
        <v>2</v>
      </c>
      <c r="C24" s="38">
        <v>7.1</v>
      </c>
      <c r="D24" s="38">
        <v>7.1</v>
      </c>
      <c r="E24" s="38">
        <v>7.1</v>
      </c>
      <c r="F24" s="38">
        <v>7.09</v>
      </c>
      <c r="G24" s="38">
        <v>7.1</v>
      </c>
      <c r="H24" s="38">
        <v>7.08</v>
      </c>
      <c r="I24" s="38">
        <v>7.09</v>
      </c>
      <c r="J24" s="38">
        <v>7.1</v>
      </c>
      <c r="K24" s="38">
        <v>7.1</v>
      </c>
      <c r="L24" s="38">
        <v>7.1</v>
      </c>
      <c r="M24" s="56">
        <f>IF(C24="","",AVERAGE(C24:L24))</f>
        <v>7.0959999999999992</v>
      </c>
      <c r="N24" s="228">
        <f>IF(COUNT(C23:L25)=0,"",AVERAGE(C23:L25))</f>
        <v>7.0949999999999989</v>
      </c>
      <c r="O24" s="229"/>
    </row>
    <row r="25" spans="1:15">
      <c r="A25" s="227"/>
      <c r="B25" s="44">
        <v>3</v>
      </c>
      <c r="C25" s="38">
        <v>7.1</v>
      </c>
      <c r="D25" s="38">
        <v>7.1</v>
      </c>
      <c r="E25" s="38">
        <v>7.09</v>
      </c>
      <c r="F25" s="38">
        <v>7.1</v>
      </c>
      <c r="G25" s="38">
        <v>7.1</v>
      </c>
      <c r="H25" s="38">
        <v>7.09</v>
      </c>
      <c r="I25" s="38">
        <v>7.09</v>
      </c>
      <c r="J25" s="38">
        <v>7.09</v>
      </c>
      <c r="K25" s="38">
        <v>7.08</v>
      </c>
      <c r="L25" s="38">
        <v>7.1</v>
      </c>
      <c r="M25" s="45">
        <f>IF(C25="","",AVERAGE(C25:L25))</f>
        <v>7.0939999999999994</v>
      </c>
      <c r="N25" s="57"/>
      <c r="O25" s="58"/>
    </row>
    <row r="26" spans="1:15" ht="15.75" thickBot="1">
      <c r="A26" s="48">
        <v>3</v>
      </c>
      <c r="B26" s="49" t="s">
        <v>21</v>
      </c>
      <c r="C26" s="60">
        <f t="shared" ref="C26:L26" si="2">IF(COUNT(C23:C25)&lt;2,"",MAX(C23:C25)-MIN(C23:C25))</f>
        <v>0</v>
      </c>
      <c r="D26" s="60">
        <f t="shared" si="2"/>
        <v>1.9999999999999574E-2</v>
      </c>
      <c r="E26" s="60">
        <f t="shared" si="2"/>
        <v>9.9999999999997868E-3</v>
      </c>
      <c r="F26" s="60">
        <f t="shared" si="2"/>
        <v>9.9999999999997868E-3</v>
      </c>
      <c r="G26" s="60">
        <f t="shared" si="2"/>
        <v>0</v>
      </c>
      <c r="H26" s="60">
        <f t="shared" si="2"/>
        <v>9.9999999999997868E-3</v>
      </c>
      <c r="I26" s="60">
        <f t="shared" si="2"/>
        <v>0</v>
      </c>
      <c r="J26" s="60">
        <f t="shared" si="2"/>
        <v>9.9999999999997868E-3</v>
      </c>
      <c r="K26" s="60">
        <f t="shared" si="2"/>
        <v>1.9999999999999574E-2</v>
      </c>
      <c r="L26" s="60">
        <f t="shared" si="2"/>
        <v>0</v>
      </c>
      <c r="M26" s="61" t="s">
        <v>26</v>
      </c>
      <c r="N26" s="230">
        <f>IF(COUNT(C26:L26)=0,"",AVERAGE(C26:L26))</f>
        <v>7.9999999999998302E-3</v>
      </c>
      <c r="O26" s="231"/>
    </row>
    <row r="27" spans="1:15" ht="34.5" customHeight="1" thickTop="1" thickBot="1">
      <c r="A27" s="233" t="s">
        <v>27</v>
      </c>
      <c r="B27" s="234"/>
      <c r="C27" s="62">
        <f t="shared" ref="C27:L27" si="3">IF(COUNT(C15:C17,C19:C21,C23:C25)=0,"",AVERAGE(C15:C17,C19:C21,C23:C25))</f>
        <v>7.1000000000000005</v>
      </c>
      <c r="D27" s="62">
        <f t="shared" si="3"/>
        <v>7.0933333333333337</v>
      </c>
      <c r="E27" s="62">
        <f t="shared" si="3"/>
        <v>7.0966666666666658</v>
      </c>
      <c r="F27" s="62">
        <f t="shared" si="3"/>
        <v>7.0933333333333328</v>
      </c>
      <c r="G27" s="62">
        <f t="shared" si="3"/>
        <v>7.0922222222222224</v>
      </c>
      <c r="H27" s="62">
        <f t="shared" si="3"/>
        <v>7.083333333333333</v>
      </c>
      <c r="I27" s="62">
        <f t="shared" si="3"/>
        <v>7.09</v>
      </c>
      <c r="J27" s="62">
        <f t="shared" si="3"/>
        <v>7.0977777777777771</v>
      </c>
      <c r="K27" s="62">
        <f t="shared" si="3"/>
        <v>7.0855555555555547</v>
      </c>
      <c r="L27" s="62">
        <f t="shared" si="3"/>
        <v>7.0988888888888901</v>
      </c>
      <c r="M27" s="63" t="s">
        <v>28</v>
      </c>
      <c r="N27" s="235">
        <f>IF(COUNT(C27:L27)&lt;1,"",MAX(C27:L27)-MIN(C27:L27))</f>
        <v>1.6666666666667496E-2</v>
      </c>
      <c r="O27" s="236"/>
    </row>
    <row r="28" spans="1:15" ht="16.5" thickTop="1" thickBot="1">
      <c r="A28" s="64" t="s">
        <v>29</v>
      </c>
      <c r="B28" s="65"/>
      <c r="C28" s="65"/>
      <c r="D28" s="66"/>
      <c r="E28" s="66"/>
      <c r="F28" s="66"/>
      <c r="G28" s="66"/>
      <c r="H28" s="66"/>
      <c r="I28" s="66"/>
      <c r="J28" s="66"/>
      <c r="K28" s="66"/>
      <c r="L28" s="66"/>
      <c r="M28" s="67" t="s">
        <v>30</v>
      </c>
      <c r="N28" s="224">
        <f>IF(N16="","",MAX(N20,N16,N24)-MIN(N16,N20,N24))</f>
        <v>2.9999999999983373E-3</v>
      </c>
      <c r="O28" s="225"/>
    </row>
    <row r="29" spans="1:15" ht="16.5" thickTop="1" thickBot="1">
      <c r="A29" s="68" t="s">
        <v>31</v>
      </c>
      <c r="B29" s="65"/>
      <c r="C29" s="65"/>
      <c r="D29" s="65"/>
      <c r="E29" s="66"/>
      <c r="F29" s="66"/>
      <c r="G29" s="66"/>
      <c r="H29" s="66"/>
      <c r="I29" s="66"/>
      <c r="J29" s="66"/>
      <c r="K29" s="66"/>
      <c r="L29" s="69"/>
      <c r="M29" s="70" t="s">
        <v>32</v>
      </c>
      <c r="N29" s="214">
        <f>IF(N18="","",(N18+N22+N26)/3)</f>
        <v>9.6666666666664607E-3</v>
      </c>
      <c r="O29" s="215"/>
    </row>
    <row r="30" spans="1:15" ht="16.5" thickTop="1" thickBot="1">
      <c r="A30" s="71" t="s">
        <v>33</v>
      </c>
      <c r="B30" s="72"/>
      <c r="C30" s="66"/>
      <c r="D30" s="66"/>
      <c r="E30" s="66"/>
      <c r="F30" s="73" t="s">
        <v>34</v>
      </c>
      <c r="G30" s="66"/>
      <c r="H30" s="66"/>
      <c r="I30" s="66"/>
      <c r="J30" s="66"/>
      <c r="K30" s="74" t="s">
        <v>35</v>
      </c>
      <c r="L30" s="75">
        <f>IF(D32=3,N33,IF(D32=2,N32,""))</f>
        <v>2.58</v>
      </c>
      <c r="M30" s="76" t="s">
        <v>36</v>
      </c>
      <c r="N30" s="214">
        <f>IF(L30="","",N29*L30)</f>
        <v>2.493999999999947E-2</v>
      </c>
      <c r="O30" s="215"/>
    </row>
    <row r="31" spans="1:15" ht="16.5" thickTop="1">
      <c r="A31" s="216" t="s">
        <v>15</v>
      </c>
      <c r="B31" s="217"/>
      <c r="C31" s="218"/>
      <c r="D31" s="77">
        <f>COUNT(A15:A26)</f>
        <v>3</v>
      </c>
      <c r="E31" s="219" t="s">
        <v>37</v>
      </c>
      <c r="F31" s="220"/>
      <c r="G31" s="221" t="s">
        <v>38</v>
      </c>
      <c r="H31" s="222"/>
      <c r="I31" s="183" t="s">
        <v>39</v>
      </c>
      <c r="J31" s="183"/>
      <c r="K31" s="223" t="s">
        <v>40</v>
      </c>
      <c r="L31" s="222"/>
      <c r="M31" s="78" t="s">
        <v>41</v>
      </c>
      <c r="N31" s="79" t="s">
        <v>42</v>
      </c>
      <c r="O31" s="80"/>
    </row>
    <row r="32" spans="1:15">
      <c r="A32" s="196" t="s">
        <v>43</v>
      </c>
      <c r="B32" s="197"/>
      <c r="C32" s="198"/>
      <c r="D32" s="81">
        <f>COUNT(C15:C17)</f>
        <v>3</v>
      </c>
      <c r="E32" s="199" t="s">
        <v>44</v>
      </c>
      <c r="F32" s="200"/>
      <c r="G32" s="201">
        <v>2</v>
      </c>
      <c r="H32" s="202"/>
      <c r="I32" s="203">
        <v>0.70709999999999995</v>
      </c>
      <c r="J32" s="203"/>
      <c r="K32" s="204">
        <v>2</v>
      </c>
      <c r="L32" s="202"/>
      <c r="M32" s="82">
        <v>0.88619999999999999</v>
      </c>
      <c r="N32" s="83">
        <v>3.27</v>
      </c>
      <c r="O32" s="84"/>
    </row>
    <row r="33" spans="1:15" ht="15.75" thickBot="1">
      <c r="A33" s="205" t="s">
        <v>45</v>
      </c>
      <c r="B33" s="206"/>
      <c r="C33" s="207"/>
      <c r="D33" s="85">
        <f>COUNT(C15:L15)</f>
        <v>10</v>
      </c>
      <c r="E33" s="208" t="s">
        <v>46</v>
      </c>
      <c r="F33" s="209"/>
      <c r="G33" s="210">
        <v>3</v>
      </c>
      <c r="H33" s="211"/>
      <c r="I33" s="212">
        <v>0.52310000000000001</v>
      </c>
      <c r="J33" s="212"/>
      <c r="K33" s="213">
        <v>3</v>
      </c>
      <c r="L33" s="211"/>
      <c r="M33" s="86">
        <v>0.59079999999999999</v>
      </c>
      <c r="N33" s="87">
        <v>2.58</v>
      </c>
      <c r="O33" s="88"/>
    </row>
    <row r="34" spans="1:15" ht="15.75" thickTop="1">
      <c r="A34" s="182" t="s">
        <v>47</v>
      </c>
      <c r="B34" s="183"/>
      <c r="C34" s="89">
        <v>2</v>
      </c>
      <c r="D34" s="90">
        <v>3</v>
      </c>
      <c r="E34" s="89">
        <v>4</v>
      </c>
      <c r="F34" s="90">
        <v>5</v>
      </c>
      <c r="G34" s="89">
        <v>6</v>
      </c>
      <c r="H34" s="90">
        <v>7</v>
      </c>
      <c r="I34" s="89">
        <v>8</v>
      </c>
      <c r="J34" s="89">
        <v>9</v>
      </c>
      <c r="K34" s="78">
        <v>10</v>
      </c>
      <c r="L34" s="91"/>
      <c r="M34" s="92"/>
      <c r="N34" s="92"/>
      <c r="O34" s="93"/>
    </row>
    <row r="35" spans="1:15" ht="16.5" thickBot="1">
      <c r="A35" s="184" t="s">
        <v>48</v>
      </c>
      <c r="B35" s="185"/>
      <c r="C35" s="94">
        <v>0.70709999999999995</v>
      </c>
      <c r="D35" s="95">
        <v>0.52310000000000001</v>
      </c>
      <c r="E35" s="95">
        <v>0.44669999999999999</v>
      </c>
      <c r="F35" s="95">
        <v>0.40300000000000002</v>
      </c>
      <c r="G35" s="95">
        <v>0.37419999999999998</v>
      </c>
      <c r="H35" s="95">
        <v>0.35339999999999999</v>
      </c>
      <c r="I35" s="95">
        <v>0.33750000000000002</v>
      </c>
      <c r="J35" s="95">
        <v>0.32490000000000002</v>
      </c>
      <c r="K35" s="96">
        <v>0.31459999999999999</v>
      </c>
      <c r="L35" s="97"/>
      <c r="M35" s="98"/>
      <c r="N35" s="98"/>
      <c r="O35" s="99"/>
    </row>
    <row r="36" spans="1:15" ht="35.25" customHeight="1" thickTop="1" thickBot="1">
      <c r="A36" s="186" t="s">
        <v>49</v>
      </c>
      <c r="B36" s="187"/>
      <c r="C36" s="187"/>
      <c r="D36" s="187"/>
      <c r="E36" s="187"/>
      <c r="F36" s="187"/>
      <c r="G36" s="187"/>
      <c r="H36" s="187"/>
      <c r="I36" s="187"/>
      <c r="J36" s="187"/>
      <c r="K36" s="187"/>
      <c r="L36" s="187"/>
      <c r="M36" s="187"/>
      <c r="N36" s="187"/>
      <c r="O36" s="188"/>
    </row>
    <row r="37" spans="1:15" ht="15.75" customHeight="1" thickTop="1">
      <c r="A37" s="165" t="s">
        <v>50</v>
      </c>
      <c r="B37" s="190" t="s">
        <v>51</v>
      </c>
      <c r="C37" s="191"/>
      <c r="D37" s="190" t="s">
        <v>52</v>
      </c>
      <c r="E37" s="192"/>
      <c r="F37" s="191"/>
      <c r="G37" s="190" t="s">
        <v>53</v>
      </c>
      <c r="H37" s="192"/>
      <c r="I37" s="191"/>
      <c r="J37" s="190" t="s">
        <v>54</v>
      </c>
      <c r="K37" s="192"/>
      <c r="L37" s="191"/>
      <c r="M37" s="193" t="s">
        <v>55</v>
      </c>
      <c r="N37" s="194"/>
      <c r="O37" s="195"/>
    </row>
    <row r="38" spans="1:15" ht="23.25">
      <c r="A38" s="189"/>
      <c r="B38" s="176" t="s">
        <v>56</v>
      </c>
      <c r="C38" s="178"/>
      <c r="D38" s="176" t="s">
        <v>57</v>
      </c>
      <c r="E38" s="177"/>
      <c r="F38" s="178"/>
      <c r="G38" s="176" t="s">
        <v>58</v>
      </c>
      <c r="H38" s="177"/>
      <c r="I38" s="178"/>
      <c r="J38" s="176" t="s">
        <v>59</v>
      </c>
      <c r="K38" s="177"/>
      <c r="L38" s="178"/>
      <c r="M38" s="176" t="s">
        <v>60</v>
      </c>
      <c r="N38" s="177"/>
      <c r="O38" s="179"/>
    </row>
    <row r="39" spans="1:15" ht="16.5" thickBot="1">
      <c r="A39" s="166"/>
      <c r="B39" s="100" t="s">
        <v>61</v>
      </c>
      <c r="C39" s="101">
        <f>IF(C15="","",IF(COUNT(C15:C17)&lt;3,N29*M32,N29*M33))</f>
        <v>5.7110666666665448E-3</v>
      </c>
      <c r="D39" s="102" t="s">
        <v>62</v>
      </c>
      <c r="E39" s="103">
        <f>IF(C39="","",IF(POWER(N28*SUMIF(G32:H33,D31,I32:J33),2)-POWER(C39,2)/(D33*D32)&lt;0,"0.000",SQRT(POWER(N28*SUMIF(G32:H33,D31,I32:J33),2)-POWER(C39,2)/(D33*D32))))</f>
        <v>1.172814168695797E-3</v>
      </c>
      <c r="F39" s="104"/>
      <c r="G39" s="102" t="s">
        <v>63</v>
      </c>
      <c r="H39" s="105">
        <f>IF(E39="","",SQRT(POWER(C39,2)+POWER(E39,2)))</f>
        <v>5.8302466110279868E-3</v>
      </c>
      <c r="I39" s="104"/>
      <c r="J39" s="102" t="s">
        <v>64</v>
      </c>
      <c r="K39" s="105">
        <f>IF(H39="","",N27*SUMIF(C34:K34,D33,C35:K35))</f>
        <v>5.2433333333335936E-3</v>
      </c>
      <c r="L39" s="106"/>
      <c r="M39" s="107" t="s">
        <v>65</v>
      </c>
      <c r="N39" s="105">
        <f>IF(H39="","",SQRT(POWER(H39,2)+POWER(K39,2)))</f>
        <v>7.8411937860156534E-3</v>
      </c>
      <c r="O39" s="99"/>
    </row>
    <row r="40" spans="1:15" ht="16.5" customHeight="1" thickTop="1">
      <c r="A40" s="165" t="s">
        <v>66</v>
      </c>
      <c r="B40" s="180" t="s">
        <v>67</v>
      </c>
      <c r="C40" s="181"/>
      <c r="D40" s="176" t="s">
        <v>68</v>
      </c>
      <c r="E40" s="177"/>
      <c r="F40" s="178"/>
      <c r="G40" s="176" t="s">
        <v>69</v>
      </c>
      <c r="H40" s="177"/>
      <c r="I40" s="178"/>
      <c r="J40" s="176" t="s">
        <v>70</v>
      </c>
      <c r="K40" s="177"/>
      <c r="L40" s="178"/>
      <c r="M40" s="176" t="s">
        <v>71</v>
      </c>
      <c r="N40" s="177"/>
      <c r="O40" s="178"/>
    </row>
    <row r="41" spans="1:15" ht="16.5" thickBot="1">
      <c r="A41" s="166"/>
      <c r="B41" s="100" t="s">
        <v>72</v>
      </c>
      <c r="C41" s="108">
        <f>IF(C39="","",C39/$N$39)</f>
        <v>0.72834147739747546</v>
      </c>
      <c r="D41" s="102" t="s">
        <v>73</v>
      </c>
      <c r="E41" s="109">
        <f>IF(E39="","",E39/$N$39)</f>
        <v>0.14957086901581848</v>
      </c>
      <c r="F41" s="104"/>
      <c r="G41" s="102" t="s">
        <v>74</v>
      </c>
      <c r="H41" s="109">
        <f>IF(H39="","",H39/$N$39)</f>
        <v>0.74354068655029515</v>
      </c>
      <c r="I41" s="104"/>
      <c r="J41" s="102" t="s">
        <v>75</v>
      </c>
      <c r="K41" s="109">
        <f>IF(K39="","",K39/$N$39)</f>
        <v>0.66869069639431644</v>
      </c>
      <c r="L41" s="106"/>
      <c r="M41" s="102" t="s">
        <v>76</v>
      </c>
      <c r="N41" s="110">
        <f>1.41*(K39/H39)</f>
        <v>1.2680595681863993</v>
      </c>
      <c r="O41" s="106"/>
    </row>
    <row r="42" spans="1:15" ht="16.5" customHeight="1" thickTop="1">
      <c r="A42" s="165" t="s">
        <v>77</v>
      </c>
      <c r="B42" s="167" t="s">
        <v>78</v>
      </c>
      <c r="C42" s="168"/>
      <c r="D42" s="169" t="s">
        <v>79</v>
      </c>
      <c r="E42" s="170"/>
      <c r="F42" s="171"/>
      <c r="G42" s="169" t="s">
        <v>80</v>
      </c>
      <c r="H42" s="170"/>
      <c r="I42" s="171"/>
      <c r="J42" s="111"/>
      <c r="K42" s="112"/>
      <c r="L42" s="113"/>
      <c r="M42" s="114"/>
      <c r="N42" s="115"/>
      <c r="O42" s="116"/>
    </row>
    <row r="43" spans="1:15" ht="16.5" thickBot="1">
      <c r="A43" s="166"/>
      <c r="B43" s="100" t="s">
        <v>72</v>
      </c>
      <c r="C43" s="117">
        <f>IF(C39="","",C39/($G$11/6))</f>
        <v>6.8532799999998548E-2</v>
      </c>
      <c r="D43" s="102" t="s">
        <v>73</v>
      </c>
      <c r="E43" s="118">
        <f>IF(E39="","",E39/($G$11/6))</f>
        <v>1.4073770024349565E-2</v>
      </c>
      <c r="F43" s="104"/>
      <c r="G43" s="102" t="s">
        <v>74</v>
      </c>
      <c r="H43" s="118">
        <f>IF(H39="","",H39/($G$11/6))</f>
        <v>6.9962959332335845E-2</v>
      </c>
      <c r="I43" s="104"/>
      <c r="J43" s="102"/>
      <c r="K43" s="118"/>
      <c r="L43" s="106"/>
      <c r="M43" s="119"/>
      <c r="N43" s="98"/>
      <c r="O43" s="99"/>
    </row>
    <row r="44" spans="1:15" ht="16.5" thickTop="1" thickBot="1">
      <c r="A44" s="120" t="s">
        <v>81</v>
      </c>
      <c r="B44" s="121"/>
      <c r="C44" s="121"/>
      <c r="D44" s="121"/>
      <c r="E44" s="121"/>
      <c r="F44" s="121"/>
      <c r="G44" s="121"/>
      <c r="H44" s="121"/>
      <c r="I44" s="122" t="s">
        <v>82</v>
      </c>
      <c r="J44" s="121"/>
      <c r="K44" s="121"/>
      <c r="L44" s="121"/>
      <c r="M44" s="121"/>
      <c r="N44" s="121"/>
      <c r="O44" s="123"/>
    </row>
    <row r="45" spans="1:15" ht="15.75" customHeight="1" thickTop="1">
      <c r="A45" s="124"/>
      <c r="B45" s="125"/>
      <c r="C45" s="125"/>
      <c r="D45" s="125"/>
      <c r="E45" s="125"/>
      <c r="F45" s="125"/>
      <c r="G45" s="125"/>
      <c r="H45" s="125"/>
      <c r="I45" s="172" t="s">
        <v>83</v>
      </c>
      <c r="J45" s="173"/>
      <c r="K45" s="174" t="s">
        <v>84</v>
      </c>
      <c r="L45" s="174"/>
      <c r="M45" s="174"/>
      <c r="N45" s="174"/>
      <c r="O45" s="175"/>
    </row>
    <row r="46" spans="1:15" ht="18" customHeight="1">
      <c r="A46" s="124"/>
      <c r="B46" s="125"/>
      <c r="C46" s="125"/>
      <c r="D46" s="125"/>
      <c r="E46" s="125"/>
      <c r="F46" s="125"/>
      <c r="G46" s="125"/>
      <c r="H46" s="125"/>
      <c r="I46" s="153" t="s">
        <v>85</v>
      </c>
      <c r="J46" s="154"/>
      <c r="K46" s="155" t="s">
        <v>86</v>
      </c>
      <c r="L46" s="155"/>
      <c r="M46" s="155"/>
      <c r="N46" s="155"/>
      <c r="O46" s="156"/>
    </row>
    <row r="47" spans="1:15" ht="25.5" customHeight="1">
      <c r="A47" s="124"/>
      <c r="B47" s="125"/>
      <c r="C47" s="125"/>
      <c r="D47" s="125"/>
      <c r="E47" s="125"/>
      <c r="F47" s="125"/>
      <c r="G47" s="125"/>
      <c r="H47" s="125"/>
      <c r="I47" s="157" t="s">
        <v>87</v>
      </c>
      <c r="J47" s="158"/>
      <c r="K47" s="159" t="s">
        <v>88</v>
      </c>
      <c r="L47" s="159"/>
      <c r="M47" s="159"/>
      <c r="N47" s="159"/>
      <c r="O47" s="160"/>
    </row>
    <row r="48" spans="1:15" ht="29.25" customHeight="1" thickBot="1">
      <c r="A48" s="124"/>
      <c r="B48" s="125"/>
      <c r="C48" s="125"/>
      <c r="D48" s="125"/>
      <c r="E48" s="125"/>
      <c r="F48" s="125"/>
      <c r="G48" s="125"/>
      <c r="H48" s="125"/>
      <c r="I48" s="161" t="s">
        <v>89</v>
      </c>
      <c r="J48" s="162"/>
      <c r="K48" s="163" t="s">
        <v>90</v>
      </c>
      <c r="L48" s="163"/>
      <c r="M48" s="163"/>
      <c r="N48" s="163"/>
      <c r="O48" s="164"/>
    </row>
    <row r="49" spans="1:15" ht="15.75" thickTop="1">
      <c r="A49" s="124"/>
      <c r="B49" s="125"/>
      <c r="C49" s="125"/>
      <c r="D49" s="125"/>
      <c r="E49" s="125"/>
      <c r="F49" s="125"/>
      <c r="G49" s="125"/>
      <c r="H49" s="125"/>
      <c r="I49" s="142" t="s">
        <v>91</v>
      </c>
      <c r="J49" s="143"/>
      <c r="K49" s="143"/>
      <c r="L49" s="143"/>
      <c r="M49" s="143"/>
      <c r="N49" s="143"/>
      <c r="O49" s="144"/>
    </row>
    <row r="50" spans="1:15">
      <c r="A50" s="124"/>
      <c r="B50" s="125"/>
      <c r="C50" s="125"/>
      <c r="D50" s="125"/>
      <c r="E50" s="125"/>
      <c r="F50" s="125"/>
      <c r="G50" s="145"/>
      <c r="H50" s="146"/>
      <c r="I50" s="147" t="s">
        <v>92</v>
      </c>
      <c r="J50" s="148"/>
      <c r="K50" s="148"/>
      <c r="L50" s="148"/>
      <c r="M50" s="148"/>
      <c r="N50" s="148"/>
      <c r="O50" s="149"/>
    </row>
    <row r="51" spans="1:15" ht="15" customHeight="1">
      <c r="A51" s="124"/>
      <c r="B51" s="125"/>
      <c r="C51" s="125"/>
      <c r="D51" s="125"/>
      <c r="E51" s="125"/>
      <c r="F51" s="125"/>
      <c r="G51" s="126"/>
      <c r="H51" s="127"/>
      <c r="I51" s="150" t="s">
        <v>93</v>
      </c>
      <c r="J51" s="151"/>
      <c r="K51" s="151"/>
      <c r="L51" s="151"/>
      <c r="M51" s="151"/>
      <c r="N51" s="151"/>
      <c r="O51" s="152"/>
    </row>
    <row r="52" spans="1:15">
      <c r="A52" s="124"/>
      <c r="B52" s="125"/>
      <c r="C52" s="125"/>
      <c r="D52" s="125"/>
      <c r="E52" s="125"/>
      <c r="F52" s="125"/>
      <c r="G52" s="126"/>
      <c r="H52" s="127"/>
      <c r="I52" s="136" t="s">
        <v>94</v>
      </c>
      <c r="J52" s="137"/>
      <c r="K52" s="137"/>
      <c r="L52" s="137"/>
      <c r="M52" s="137"/>
      <c r="N52" s="137"/>
      <c r="O52" s="138"/>
    </row>
    <row r="53" spans="1:15">
      <c r="A53" s="124"/>
      <c r="B53" s="125"/>
      <c r="C53" s="125"/>
      <c r="D53" s="125"/>
      <c r="E53" s="125"/>
      <c r="F53" s="125"/>
      <c r="G53" s="126"/>
      <c r="H53" s="127"/>
      <c r="I53" s="147" t="s">
        <v>95</v>
      </c>
      <c r="J53" s="148"/>
      <c r="K53" s="148"/>
      <c r="L53" s="148"/>
      <c r="M53" s="148"/>
      <c r="N53" s="148"/>
      <c r="O53" s="149"/>
    </row>
    <row r="54" spans="1:15">
      <c r="A54" s="124"/>
      <c r="B54" s="125"/>
      <c r="C54" s="125"/>
      <c r="D54" s="125"/>
      <c r="E54" s="125"/>
      <c r="F54" s="125"/>
      <c r="G54" s="126"/>
      <c r="H54" s="127"/>
      <c r="I54" s="136" t="s">
        <v>96</v>
      </c>
      <c r="J54" s="137"/>
      <c r="K54" s="137"/>
      <c r="L54" s="137"/>
      <c r="M54" s="137"/>
      <c r="N54" s="137"/>
      <c r="O54" s="138"/>
    </row>
    <row r="55" spans="1:15" ht="15.75" thickBot="1">
      <c r="A55" s="128"/>
      <c r="B55" s="129"/>
      <c r="C55" s="129"/>
      <c r="D55" s="129"/>
      <c r="E55" s="129"/>
      <c r="F55" s="129"/>
      <c r="G55" s="130"/>
      <c r="H55" s="131"/>
      <c r="I55" s="139" t="s">
        <v>97</v>
      </c>
      <c r="J55" s="140"/>
      <c r="K55" s="140"/>
      <c r="L55" s="140"/>
      <c r="M55" s="140"/>
      <c r="N55" s="140"/>
      <c r="O55" s="141"/>
    </row>
    <row r="56" spans="1:15" ht="15.75" thickTop="1">
      <c r="A56" t="s">
        <v>107</v>
      </c>
    </row>
  </sheetData>
  <mergeCells count="87">
    <mergeCell ref="I54:O54"/>
    <mergeCell ref="I55:O55"/>
    <mergeCell ref="I49:O49"/>
    <mergeCell ref="G50:H50"/>
    <mergeCell ref="I50:O50"/>
    <mergeCell ref="I51:O51"/>
    <mergeCell ref="I52:O52"/>
    <mergeCell ref="I53:O53"/>
    <mergeCell ref="I46:J46"/>
    <mergeCell ref="K46:O46"/>
    <mergeCell ref="I47:J47"/>
    <mergeCell ref="K47:O47"/>
    <mergeCell ref="I48:J48"/>
    <mergeCell ref="K48:O48"/>
    <mergeCell ref="A42:A43"/>
    <mergeCell ref="B42:C42"/>
    <mergeCell ref="D42:F42"/>
    <mergeCell ref="G42:I42"/>
    <mergeCell ref="I45:J45"/>
    <mergeCell ref="K45:O45"/>
    <mergeCell ref="D38:F38"/>
    <mergeCell ref="G38:I38"/>
    <mergeCell ref="J38:L38"/>
    <mergeCell ref="M38:O38"/>
    <mergeCell ref="M40:O40"/>
    <mergeCell ref="A40:A41"/>
    <mergeCell ref="B40:C40"/>
    <mergeCell ref="D40:F40"/>
    <mergeCell ref="G40:I40"/>
    <mergeCell ref="J40:L40"/>
    <mergeCell ref="A34:B34"/>
    <mergeCell ref="A35:B35"/>
    <mergeCell ref="A36:O36"/>
    <mergeCell ref="A37:A39"/>
    <mergeCell ref="B37:C37"/>
    <mergeCell ref="D37:F37"/>
    <mergeCell ref="G37:I37"/>
    <mergeCell ref="J37:L37"/>
    <mergeCell ref="M37:O37"/>
    <mergeCell ref="B38:C38"/>
    <mergeCell ref="A32:C32"/>
    <mergeCell ref="E32:F32"/>
    <mergeCell ref="G32:H32"/>
    <mergeCell ref="I32:J32"/>
    <mergeCell ref="K32:L32"/>
    <mergeCell ref="A33:C33"/>
    <mergeCell ref="E33:F33"/>
    <mergeCell ref="G33:H33"/>
    <mergeCell ref="I33:J33"/>
    <mergeCell ref="K33:L33"/>
    <mergeCell ref="N29:O29"/>
    <mergeCell ref="N30:O30"/>
    <mergeCell ref="A31:C31"/>
    <mergeCell ref="E31:F31"/>
    <mergeCell ref="G31:H31"/>
    <mergeCell ref="I31:J31"/>
    <mergeCell ref="K31:L31"/>
    <mergeCell ref="N28:O28"/>
    <mergeCell ref="A15:A17"/>
    <mergeCell ref="N16:O16"/>
    <mergeCell ref="N18:O18"/>
    <mergeCell ref="A19:A21"/>
    <mergeCell ref="N20:O20"/>
    <mergeCell ref="N22:O22"/>
    <mergeCell ref="A23:A25"/>
    <mergeCell ref="N24:O24"/>
    <mergeCell ref="N26:O26"/>
    <mergeCell ref="A27:B27"/>
    <mergeCell ref="N27:O27"/>
    <mergeCell ref="D9:I9"/>
    <mergeCell ref="E11:F11"/>
    <mergeCell ref="J11:K11"/>
    <mergeCell ref="L11:M11"/>
    <mergeCell ref="N11:O11"/>
    <mergeCell ref="A13:A14"/>
    <mergeCell ref="B13:B14"/>
    <mergeCell ref="C13:L13"/>
    <mergeCell ref="M13:M14"/>
    <mergeCell ref="N13:O14"/>
    <mergeCell ref="A1:O1"/>
    <mergeCell ref="A2:N2"/>
    <mergeCell ref="A3:C3"/>
    <mergeCell ref="J3:O3"/>
    <mergeCell ref="D4:I4"/>
    <mergeCell ref="J4:K4"/>
    <mergeCell ref="L4:M4"/>
    <mergeCell ref="N4:O4"/>
  </mergeCells>
  <pageMargins left="0" right="0" top="0" bottom="0" header="0" footer="0"/>
  <pageSetup scale="77"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6B10D-0155-46A2-926C-26326B4942FA}">
  <sheetPr>
    <pageSetUpPr fitToPage="1"/>
  </sheetPr>
  <dimension ref="A1:O56"/>
  <sheetViews>
    <sheetView topLeftCell="A4" workbookViewId="0">
      <selection activeCell="A56" sqref="A56"/>
    </sheetView>
  </sheetViews>
  <sheetFormatPr defaultRowHeight="15"/>
  <sheetData>
    <row r="1" spans="1:15" ht="18.75">
      <c r="A1" s="254" t="s">
        <v>0</v>
      </c>
      <c r="B1" s="254"/>
      <c r="C1" s="254"/>
      <c r="D1" s="254"/>
      <c r="E1" s="254"/>
      <c r="F1" s="254"/>
      <c r="G1" s="254"/>
      <c r="H1" s="254"/>
      <c r="I1" s="254"/>
      <c r="J1" s="254"/>
      <c r="K1" s="254"/>
      <c r="L1" s="254"/>
      <c r="M1" s="254"/>
      <c r="N1" s="254"/>
      <c r="O1" s="254"/>
    </row>
    <row r="2" spans="1:15" ht="16.5" thickBot="1">
      <c r="A2" s="255" t="s">
        <v>1</v>
      </c>
      <c r="B2" s="255"/>
      <c r="C2" s="255"/>
      <c r="D2" s="255"/>
      <c r="E2" s="255"/>
      <c r="F2" s="255"/>
      <c r="G2" s="255"/>
      <c r="H2" s="255"/>
      <c r="I2" s="255"/>
      <c r="J2" s="255"/>
      <c r="K2" s="255"/>
      <c r="L2" s="255"/>
      <c r="M2" s="255"/>
      <c r="N2" s="255"/>
      <c r="O2" s="1"/>
    </row>
    <row r="3" spans="1:15" ht="16.5" thickBot="1">
      <c r="A3" s="256"/>
      <c r="B3" s="256"/>
      <c r="C3" s="256"/>
      <c r="D3" s="1"/>
      <c r="E3" s="1"/>
      <c r="F3" s="1"/>
      <c r="G3" s="1"/>
      <c r="H3" s="2"/>
      <c r="I3" s="2"/>
      <c r="J3" s="257" t="s">
        <v>2</v>
      </c>
      <c r="K3" s="258"/>
      <c r="L3" s="258"/>
      <c r="M3" s="258"/>
      <c r="N3" s="258"/>
      <c r="O3" s="259"/>
    </row>
    <row r="4" spans="1:15" ht="16.5" thickBot="1">
      <c r="A4" s="3" t="s">
        <v>3</v>
      </c>
      <c r="B4" s="4"/>
      <c r="C4" s="5"/>
      <c r="D4" s="260">
        <v>45279</v>
      </c>
      <c r="E4" s="261"/>
      <c r="F4" s="261"/>
      <c r="G4" s="261"/>
      <c r="H4" s="261"/>
      <c r="I4" s="262"/>
      <c r="J4" s="241" t="s">
        <v>4</v>
      </c>
      <c r="K4" s="242"/>
      <c r="L4" s="241" t="s">
        <v>5</v>
      </c>
      <c r="M4" s="242"/>
      <c r="N4" s="241" t="s">
        <v>6</v>
      </c>
      <c r="O4" s="242"/>
    </row>
    <row r="5" spans="1:15" ht="15.75">
      <c r="A5" s="6" t="s">
        <v>102</v>
      </c>
      <c r="B5" s="7"/>
      <c r="C5" s="8"/>
      <c r="D5" s="132" t="s">
        <v>103</v>
      </c>
      <c r="E5" s="132"/>
      <c r="F5" s="132"/>
      <c r="G5" s="132"/>
      <c r="H5" s="132"/>
      <c r="I5" s="132"/>
      <c r="J5" s="133"/>
      <c r="K5" s="134"/>
      <c r="L5" s="135"/>
      <c r="M5" s="134"/>
      <c r="N5" s="135"/>
      <c r="O5" s="134"/>
    </row>
    <row r="6" spans="1:15" ht="15.75">
      <c r="A6" s="6" t="s">
        <v>7</v>
      </c>
      <c r="B6" s="7"/>
      <c r="C6" s="8"/>
      <c r="D6" s="9" t="s">
        <v>104</v>
      </c>
      <c r="E6" s="9"/>
      <c r="F6" s="10"/>
      <c r="G6" s="10"/>
      <c r="H6" s="11"/>
      <c r="I6" s="12"/>
      <c r="J6" s="13"/>
      <c r="K6" s="14"/>
      <c r="L6" s="1"/>
      <c r="M6" s="14"/>
      <c r="N6" s="1"/>
      <c r="O6" s="14"/>
    </row>
    <row r="7" spans="1:15" ht="15.75">
      <c r="A7" s="6" t="s">
        <v>8</v>
      </c>
      <c r="B7" s="7"/>
      <c r="C7" s="8"/>
      <c r="D7" s="9" t="s">
        <v>106</v>
      </c>
      <c r="E7" s="9"/>
      <c r="F7" s="9"/>
      <c r="G7" s="9"/>
      <c r="H7" s="9"/>
      <c r="I7" s="15"/>
      <c r="J7" s="13"/>
      <c r="K7" s="14"/>
      <c r="L7" s="1"/>
      <c r="M7" s="14"/>
      <c r="N7" s="1"/>
      <c r="O7" s="14"/>
    </row>
    <row r="8" spans="1:15" ht="15.75">
      <c r="A8" s="6" t="s">
        <v>9</v>
      </c>
      <c r="B8" s="7"/>
      <c r="C8" s="8"/>
      <c r="D8" s="16" t="s">
        <v>105</v>
      </c>
      <c r="E8" s="17"/>
      <c r="F8" s="16"/>
      <c r="G8" s="16"/>
      <c r="H8" s="16"/>
      <c r="I8" s="18"/>
      <c r="J8" s="13"/>
      <c r="K8" s="14"/>
      <c r="L8" s="1"/>
      <c r="M8" s="14"/>
      <c r="N8" s="1"/>
      <c r="O8" s="14"/>
    </row>
    <row r="9" spans="1:15" ht="15.75">
      <c r="A9" s="6" t="s">
        <v>10</v>
      </c>
      <c r="B9" s="19"/>
      <c r="C9" s="20"/>
      <c r="D9" s="237" t="s">
        <v>98</v>
      </c>
      <c r="E9" s="238"/>
      <c r="F9" s="238"/>
      <c r="G9" s="238"/>
      <c r="H9" s="238"/>
      <c r="I9" s="239"/>
      <c r="J9" s="13"/>
      <c r="K9" s="14"/>
      <c r="L9" s="1"/>
      <c r="M9" s="14"/>
      <c r="N9" s="1"/>
      <c r="O9" s="14"/>
    </row>
    <row r="10" spans="1:15" ht="16.5" thickBot="1">
      <c r="A10" s="21"/>
      <c r="B10" s="22"/>
      <c r="C10" s="23"/>
      <c r="D10" s="24"/>
      <c r="E10" s="25"/>
      <c r="F10" s="25"/>
      <c r="G10" s="26"/>
      <c r="H10" s="26"/>
      <c r="I10" s="27"/>
      <c r="J10" s="28"/>
      <c r="K10" s="29"/>
      <c r="L10" s="2"/>
      <c r="M10" s="29"/>
      <c r="N10" s="2"/>
      <c r="O10" s="29"/>
    </row>
    <row r="11" spans="1:15" ht="16.5" thickBot="1">
      <c r="A11" s="30" t="s">
        <v>11</v>
      </c>
      <c r="B11" s="31">
        <v>6.5</v>
      </c>
      <c r="C11" s="32" t="s">
        <v>12</v>
      </c>
      <c r="D11" s="31">
        <v>7.5</v>
      </c>
      <c r="E11" s="240" t="s">
        <v>13</v>
      </c>
      <c r="F11" s="240"/>
      <c r="G11" s="33">
        <f>(D11-B11)/2</f>
        <v>0.5</v>
      </c>
      <c r="H11" s="34" t="s">
        <v>14</v>
      </c>
      <c r="I11" s="35"/>
      <c r="J11" s="241"/>
      <c r="K11" s="242"/>
      <c r="L11" s="241"/>
      <c r="M11" s="242"/>
      <c r="N11" s="241"/>
      <c r="O11" s="242"/>
    </row>
    <row r="12" spans="1:15" ht="16.5" thickBot="1">
      <c r="A12" s="1"/>
      <c r="B12" s="1"/>
      <c r="C12" s="1"/>
      <c r="D12" s="1"/>
      <c r="E12" s="1"/>
      <c r="F12" s="1"/>
      <c r="G12" s="1"/>
      <c r="H12" s="1"/>
      <c r="I12" s="1"/>
      <c r="J12" s="1"/>
      <c r="K12" s="1"/>
      <c r="L12" s="1"/>
      <c r="M12" s="1"/>
      <c r="N12" s="1"/>
      <c r="O12" s="1"/>
    </row>
    <row r="13" spans="1:15" ht="15.75" customHeight="1" thickTop="1">
      <c r="A13" s="243" t="s">
        <v>15</v>
      </c>
      <c r="B13" s="245" t="s">
        <v>16</v>
      </c>
      <c r="C13" s="247" t="s">
        <v>17</v>
      </c>
      <c r="D13" s="248"/>
      <c r="E13" s="248"/>
      <c r="F13" s="248"/>
      <c r="G13" s="248"/>
      <c r="H13" s="248"/>
      <c r="I13" s="248"/>
      <c r="J13" s="248"/>
      <c r="K13" s="248"/>
      <c r="L13" s="249"/>
      <c r="M13" s="250" t="s">
        <v>18</v>
      </c>
      <c r="N13" s="250" t="s">
        <v>19</v>
      </c>
      <c r="O13" s="252"/>
    </row>
    <row r="14" spans="1:15">
      <c r="A14" s="244"/>
      <c r="B14" s="246"/>
      <c r="C14" s="36">
        <v>1</v>
      </c>
      <c r="D14" s="36">
        <v>2</v>
      </c>
      <c r="E14" s="36">
        <v>3</v>
      </c>
      <c r="F14" s="36">
        <v>4</v>
      </c>
      <c r="G14" s="36">
        <v>5</v>
      </c>
      <c r="H14" s="36">
        <v>6</v>
      </c>
      <c r="I14" s="36">
        <v>7</v>
      </c>
      <c r="J14" s="36">
        <v>8</v>
      </c>
      <c r="K14" s="36">
        <v>9</v>
      </c>
      <c r="L14" s="36">
        <v>10</v>
      </c>
      <c r="M14" s="251"/>
      <c r="N14" s="251"/>
      <c r="O14" s="253"/>
    </row>
    <row r="15" spans="1:15">
      <c r="A15" s="226" t="s">
        <v>99</v>
      </c>
      <c r="B15" s="37">
        <v>1</v>
      </c>
      <c r="C15" s="38">
        <v>7.1</v>
      </c>
      <c r="D15" s="38">
        <v>7.1</v>
      </c>
      <c r="E15" s="38">
        <v>7.1</v>
      </c>
      <c r="F15" s="38">
        <v>7.1</v>
      </c>
      <c r="G15" s="38">
        <v>7.1</v>
      </c>
      <c r="H15" s="38">
        <v>7.07</v>
      </c>
      <c r="I15" s="38">
        <v>7.1</v>
      </c>
      <c r="J15" s="38">
        <v>7.1</v>
      </c>
      <c r="K15" s="38">
        <v>7.08</v>
      </c>
      <c r="L15" s="38">
        <v>7.1</v>
      </c>
      <c r="M15" s="39">
        <f>IF(C15="","",AVERAGE(C15:L15))</f>
        <v>7.0950000000000006</v>
      </c>
      <c r="N15" s="40" t="s">
        <v>20</v>
      </c>
      <c r="O15" s="41"/>
    </row>
    <row r="16" spans="1:15">
      <c r="A16" s="227"/>
      <c r="B16" s="42">
        <v>2</v>
      </c>
      <c r="C16" s="38">
        <v>7.1</v>
      </c>
      <c r="D16" s="38">
        <v>7.1</v>
      </c>
      <c r="E16" s="38">
        <v>7.1</v>
      </c>
      <c r="F16" s="38">
        <v>7.1</v>
      </c>
      <c r="G16" s="38">
        <v>7.09</v>
      </c>
      <c r="H16" s="38">
        <v>7.08</v>
      </c>
      <c r="I16" s="38">
        <v>7.1</v>
      </c>
      <c r="J16" s="38">
        <v>7.1</v>
      </c>
      <c r="K16" s="38">
        <v>7.08</v>
      </c>
      <c r="L16" s="38">
        <v>7.1</v>
      </c>
      <c r="M16" s="43">
        <f>IF(C16="","",AVERAGE(C16:L16))</f>
        <v>7.0949999999999989</v>
      </c>
      <c r="N16" s="228">
        <f>IF(COUNT(C15:L17)=0,"",AVERAGE(C15:L17))</f>
        <v>7.092666666666668</v>
      </c>
      <c r="O16" s="229"/>
    </row>
    <row r="17" spans="1:15">
      <c r="A17" s="227"/>
      <c r="B17" s="44">
        <v>3</v>
      </c>
      <c r="C17" s="38">
        <v>7.1</v>
      </c>
      <c r="D17" s="38">
        <v>7.08</v>
      </c>
      <c r="E17" s="38">
        <v>7.1</v>
      </c>
      <c r="F17" s="38">
        <v>7.09</v>
      </c>
      <c r="G17" s="38">
        <v>7.08</v>
      </c>
      <c r="H17" s="38">
        <v>7.08</v>
      </c>
      <c r="I17" s="38">
        <v>7.08</v>
      </c>
      <c r="J17" s="38">
        <v>7.1</v>
      </c>
      <c r="K17" s="38">
        <v>7.08</v>
      </c>
      <c r="L17" s="38">
        <v>7.09</v>
      </c>
      <c r="M17" s="45">
        <f>IF(C17="","",AVERAGE(C17:L17))</f>
        <v>7.0879999999999992</v>
      </c>
      <c r="N17" s="46"/>
      <c r="O17" s="47"/>
    </row>
    <row r="18" spans="1:15" ht="15.75" thickBot="1">
      <c r="A18" s="48">
        <v>1</v>
      </c>
      <c r="B18" s="49" t="s">
        <v>21</v>
      </c>
      <c r="C18" s="50">
        <f>IF(COUNT(C15:C17)&lt;2,"",MAX(C15:C17)-MIN(C15:C17))</f>
        <v>0</v>
      </c>
      <c r="D18" s="50">
        <f t="shared" ref="D18:K18" si="0">IF(COUNT(D15:D17)&lt;2,"",MAX(D15:D17)-MIN(D15:D17))</f>
        <v>1.9999999999999574E-2</v>
      </c>
      <c r="E18" s="50">
        <f t="shared" si="0"/>
        <v>0</v>
      </c>
      <c r="F18" s="50">
        <f t="shared" si="0"/>
        <v>9.9999999999997868E-3</v>
      </c>
      <c r="G18" s="50">
        <f>IF(COUNT(G15:G17)&lt;2,"",MAX(G15:G17)-MIN(G15:G17))</f>
        <v>1.9999999999999574E-2</v>
      </c>
      <c r="H18" s="50">
        <f t="shared" si="0"/>
        <v>9.9999999999997868E-3</v>
      </c>
      <c r="I18" s="50">
        <f t="shared" si="0"/>
        <v>1.9999999999999574E-2</v>
      </c>
      <c r="J18" s="50">
        <f t="shared" si="0"/>
        <v>0</v>
      </c>
      <c r="K18" s="50">
        <f t="shared" si="0"/>
        <v>0</v>
      </c>
      <c r="L18" s="50">
        <f>IF(COUNT(L15:L17)&lt;2,"",MAX(L15:L17)-MIN(L15:L17))</f>
        <v>9.9999999999997868E-3</v>
      </c>
      <c r="M18" s="51" t="s">
        <v>22</v>
      </c>
      <c r="N18" s="230">
        <f>IF(COUNT(C18:L18)=0,"",AVERAGE(C18:L18))</f>
        <v>8.9999999999998085E-3</v>
      </c>
      <c r="O18" s="231"/>
    </row>
    <row r="19" spans="1:15" ht="15.75" customHeight="1" thickTop="1">
      <c r="A19" s="232" t="s">
        <v>100</v>
      </c>
      <c r="B19" s="52">
        <v>1</v>
      </c>
      <c r="C19" s="38">
        <v>7.1</v>
      </c>
      <c r="D19" s="38">
        <v>7.08</v>
      </c>
      <c r="E19" s="38">
        <v>7.09</v>
      </c>
      <c r="F19" s="38">
        <v>7.08</v>
      </c>
      <c r="G19" s="38">
        <v>7.1</v>
      </c>
      <c r="H19" s="38">
        <v>7.08</v>
      </c>
      <c r="I19" s="38">
        <v>7.09</v>
      </c>
      <c r="J19" s="38">
        <v>7.1</v>
      </c>
      <c r="K19" s="38">
        <v>7.08</v>
      </c>
      <c r="L19" s="38">
        <v>7.1</v>
      </c>
      <c r="M19" s="53">
        <f>IF(C19="","",AVERAGE(C19:L19))</f>
        <v>7.0900000000000007</v>
      </c>
      <c r="N19" s="54" t="s">
        <v>23</v>
      </c>
      <c r="O19" s="55"/>
    </row>
    <row r="20" spans="1:15">
      <c r="A20" s="227"/>
      <c r="B20" s="42">
        <v>2</v>
      </c>
      <c r="C20" s="38">
        <v>7.1</v>
      </c>
      <c r="D20" s="38">
        <v>7.1</v>
      </c>
      <c r="E20" s="38">
        <v>7.09</v>
      </c>
      <c r="F20" s="38">
        <v>7.09</v>
      </c>
      <c r="G20" s="38">
        <v>7.08</v>
      </c>
      <c r="H20" s="38">
        <v>7.08</v>
      </c>
      <c r="I20" s="38">
        <v>7.09</v>
      </c>
      <c r="J20" s="38">
        <v>7.09</v>
      </c>
      <c r="K20" s="38">
        <v>7.08</v>
      </c>
      <c r="L20" s="38">
        <v>7.1</v>
      </c>
      <c r="M20" s="56">
        <f>IF(C20="","",AVERAGE(C20:L20))</f>
        <v>7.089999999999999</v>
      </c>
      <c r="N20" s="228">
        <f>IF(COUNT(C19:L21)=0,"",AVERAGE(C19:L21))</f>
        <v>7.0916666666666668</v>
      </c>
      <c r="O20" s="229"/>
    </row>
    <row r="21" spans="1:15">
      <c r="A21" s="227"/>
      <c r="B21" s="44">
        <v>3</v>
      </c>
      <c r="C21" s="38">
        <v>7.1</v>
      </c>
      <c r="D21" s="38">
        <v>7.1</v>
      </c>
      <c r="E21" s="38">
        <v>7.1</v>
      </c>
      <c r="F21" s="38">
        <v>7.09</v>
      </c>
      <c r="G21" s="38">
        <v>7.1</v>
      </c>
      <c r="H21" s="38">
        <v>7.09</v>
      </c>
      <c r="I21" s="38">
        <v>7.08</v>
      </c>
      <c r="J21" s="38">
        <v>7.1</v>
      </c>
      <c r="K21" s="38">
        <v>7.09</v>
      </c>
      <c r="L21" s="38">
        <v>7.1</v>
      </c>
      <c r="M21" s="45">
        <f>IF(C21="","",AVERAGE(C21:L21))</f>
        <v>7.0949999999999989</v>
      </c>
      <c r="N21" s="57"/>
      <c r="O21" s="58"/>
    </row>
    <row r="22" spans="1:15" ht="15.75" thickBot="1">
      <c r="A22" s="48">
        <v>2</v>
      </c>
      <c r="B22" s="49" t="s">
        <v>21</v>
      </c>
      <c r="C22" s="50">
        <f>IF(COUNT(C19:C21)&lt;2,"",MAX(C19:C21)-MIN(C19:C21))</f>
        <v>0</v>
      </c>
      <c r="D22" s="50">
        <f>IF(COUNT(D19:D21)&lt;2,"",MAX(D19:D21)-MIN(D19:D21))</f>
        <v>1.9999999999999574E-2</v>
      </c>
      <c r="E22" s="50">
        <f t="shared" ref="E22:L22" si="1">IF(COUNT(E19:E21)&lt;2,"",MAX(E19:E21)-MIN(E19:E21))</f>
        <v>9.9999999999997868E-3</v>
      </c>
      <c r="F22" s="50">
        <f t="shared" si="1"/>
        <v>9.9999999999997868E-3</v>
      </c>
      <c r="G22" s="50">
        <f t="shared" si="1"/>
        <v>1.9999999999999574E-2</v>
      </c>
      <c r="H22" s="50">
        <f t="shared" si="1"/>
        <v>9.9999999999997868E-3</v>
      </c>
      <c r="I22" s="50">
        <f t="shared" si="1"/>
        <v>9.9999999999997868E-3</v>
      </c>
      <c r="J22" s="50">
        <f t="shared" si="1"/>
        <v>9.9999999999997868E-3</v>
      </c>
      <c r="K22" s="50">
        <f t="shared" si="1"/>
        <v>9.9999999999997868E-3</v>
      </c>
      <c r="L22" s="50">
        <f t="shared" si="1"/>
        <v>0</v>
      </c>
      <c r="M22" s="51" t="s">
        <v>24</v>
      </c>
      <c r="N22" s="230">
        <f>IF(COUNT(C22:L22)=0,"",AVERAGE(C22:L22))</f>
        <v>9.9999999999997868E-3</v>
      </c>
      <c r="O22" s="231"/>
    </row>
    <row r="23" spans="1:15" ht="15.75" thickTop="1">
      <c r="A23" s="232" t="s">
        <v>101</v>
      </c>
      <c r="B23" s="52">
        <v>1</v>
      </c>
      <c r="C23" s="38">
        <v>7.1</v>
      </c>
      <c r="D23" s="38">
        <v>7.08</v>
      </c>
      <c r="E23" s="38">
        <v>7.09</v>
      </c>
      <c r="F23" s="38">
        <v>7.1</v>
      </c>
      <c r="G23" s="38">
        <v>7.1</v>
      </c>
      <c r="H23" s="38">
        <v>7.09</v>
      </c>
      <c r="I23" s="38">
        <v>7.09</v>
      </c>
      <c r="J23" s="38">
        <v>7.1</v>
      </c>
      <c r="K23" s="38">
        <v>7.1</v>
      </c>
      <c r="L23" s="38">
        <v>7.1</v>
      </c>
      <c r="M23" s="53">
        <f>IF(C23="","",AVERAGE(C23:L23))</f>
        <v>7.0950000000000006</v>
      </c>
      <c r="N23" s="40" t="s">
        <v>25</v>
      </c>
      <c r="O23" s="59"/>
    </row>
    <row r="24" spans="1:15">
      <c r="A24" s="227"/>
      <c r="B24" s="42">
        <v>2</v>
      </c>
      <c r="C24" s="38">
        <v>7.1</v>
      </c>
      <c r="D24" s="38">
        <v>7.1</v>
      </c>
      <c r="E24" s="38">
        <v>7.1</v>
      </c>
      <c r="F24" s="38">
        <v>7.09</v>
      </c>
      <c r="G24" s="38">
        <v>7.1</v>
      </c>
      <c r="H24" s="38">
        <v>7.08</v>
      </c>
      <c r="I24" s="38">
        <v>7.09</v>
      </c>
      <c r="J24" s="38">
        <v>7.1</v>
      </c>
      <c r="K24" s="38">
        <v>7.1</v>
      </c>
      <c r="L24" s="38">
        <v>7.1</v>
      </c>
      <c r="M24" s="56">
        <f>IF(C24="","",AVERAGE(C24:L24))</f>
        <v>7.0959999999999992</v>
      </c>
      <c r="N24" s="228">
        <f>IF(COUNT(C23:L25)=0,"",AVERAGE(C23:L25))</f>
        <v>7.0949999999999989</v>
      </c>
      <c r="O24" s="229"/>
    </row>
    <row r="25" spans="1:15">
      <c r="A25" s="227"/>
      <c r="B25" s="44">
        <v>3</v>
      </c>
      <c r="C25" s="38">
        <v>7.1</v>
      </c>
      <c r="D25" s="38">
        <v>7.1</v>
      </c>
      <c r="E25" s="38">
        <v>7.09</v>
      </c>
      <c r="F25" s="38">
        <v>7.1</v>
      </c>
      <c r="G25" s="38">
        <v>7.1</v>
      </c>
      <c r="H25" s="38">
        <v>7.09</v>
      </c>
      <c r="I25" s="38">
        <v>7.09</v>
      </c>
      <c r="J25" s="38">
        <v>7.09</v>
      </c>
      <c r="K25" s="38">
        <v>7.08</v>
      </c>
      <c r="L25" s="38">
        <v>7.1</v>
      </c>
      <c r="M25" s="45">
        <f>IF(C25="","",AVERAGE(C25:L25))</f>
        <v>7.0939999999999994</v>
      </c>
      <c r="N25" s="57"/>
      <c r="O25" s="58"/>
    </row>
    <row r="26" spans="1:15" ht="15.75" thickBot="1">
      <c r="A26" s="48">
        <v>3</v>
      </c>
      <c r="B26" s="49" t="s">
        <v>21</v>
      </c>
      <c r="C26" s="60">
        <f t="shared" ref="C26:L26" si="2">IF(COUNT(C23:C25)&lt;2,"",MAX(C23:C25)-MIN(C23:C25))</f>
        <v>0</v>
      </c>
      <c r="D26" s="60">
        <f t="shared" si="2"/>
        <v>1.9999999999999574E-2</v>
      </c>
      <c r="E26" s="60">
        <f t="shared" si="2"/>
        <v>9.9999999999997868E-3</v>
      </c>
      <c r="F26" s="60">
        <f t="shared" si="2"/>
        <v>9.9999999999997868E-3</v>
      </c>
      <c r="G26" s="60">
        <f t="shared" si="2"/>
        <v>0</v>
      </c>
      <c r="H26" s="60">
        <f t="shared" si="2"/>
        <v>9.9999999999997868E-3</v>
      </c>
      <c r="I26" s="60">
        <f t="shared" si="2"/>
        <v>0</v>
      </c>
      <c r="J26" s="60">
        <f t="shared" si="2"/>
        <v>9.9999999999997868E-3</v>
      </c>
      <c r="K26" s="60">
        <f t="shared" si="2"/>
        <v>1.9999999999999574E-2</v>
      </c>
      <c r="L26" s="60">
        <f t="shared" si="2"/>
        <v>0</v>
      </c>
      <c r="M26" s="61" t="s">
        <v>26</v>
      </c>
      <c r="N26" s="230">
        <f>IF(COUNT(C26:L26)=0,"",AVERAGE(C26:L26))</f>
        <v>7.9999999999998302E-3</v>
      </c>
      <c r="O26" s="231"/>
    </row>
    <row r="27" spans="1:15" ht="34.5" customHeight="1" thickTop="1" thickBot="1">
      <c r="A27" s="233" t="s">
        <v>27</v>
      </c>
      <c r="B27" s="234"/>
      <c r="C27" s="62">
        <f t="shared" ref="C27:L27" si="3">IF(COUNT(C15:C17,C19:C21,C23:C25)=0,"",AVERAGE(C15:C17,C19:C21,C23:C25))</f>
        <v>7.1000000000000005</v>
      </c>
      <c r="D27" s="62">
        <f t="shared" si="3"/>
        <v>7.0933333333333337</v>
      </c>
      <c r="E27" s="62">
        <f t="shared" si="3"/>
        <v>7.0955555555555554</v>
      </c>
      <c r="F27" s="62">
        <f t="shared" si="3"/>
        <v>7.0933333333333328</v>
      </c>
      <c r="G27" s="62">
        <f t="shared" si="3"/>
        <v>7.094444444444445</v>
      </c>
      <c r="H27" s="62">
        <f t="shared" si="3"/>
        <v>7.0822222222222235</v>
      </c>
      <c r="I27" s="62">
        <f t="shared" si="3"/>
        <v>7.09</v>
      </c>
      <c r="J27" s="62">
        <f t="shared" si="3"/>
        <v>7.0977777777777771</v>
      </c>
      <c r="K27" s="62">
        <f t="shared" si="3"/>
        <v>7.0855555555555547</v>
      </c>
      <c r="L27" s="62">
        <f t="shared" si="3"/>
        <v>7.0988888888888901</v>
      </c>
      <c r="M27" s="63" t="s">
        <v>28</v>
      </c>
      <c r="N27" s="235">
        <f>IF(COUNT(C27:L27)&lt;1,"",MAX(C27:L27)-MIN(C27:L27))</f>
        <v>1.7777777777777004E-2</v>
      </c>
      <c r="O27" s="236"/>
    </row>
    <row r="28" spans="1:15" ht="16.5" thickTop="1" thickBot="1">
      <c r="A28" s="64" t="s">
        <v>29</v>
      </c>
      <c r="B28" s="65"/>
      <c r="C28" s="65"/>
      <c r="D28" s="66"/>
      <c r="E28" s="66"/>
      <c r="F28" s="66"/>
      <c r="G28" s="66"/>
      <c r="H28" s="66"/>
      <c r="I28" s="66"/>
      <c r="J28" s="66"/>
      <c r="K28" s="66"/>
      <c r="L28" s="66"/>
      <c r="M28" s="67" t="s">
        <v>30</v>
      </c>
      <c r="N28" s="224">
        <f>IF(N16="","",MAX(N20,N16,N24)-MIN(N16,N20,N24))</f>
        <v>3.333333333332078E-3</v>
      </c>
      <c r="O28" s="225"/>
    </row>
    <row r="29" spans="1:15" ht="16.5" thickTop="1" thickBot="1">
      <c r="A29" s="68" t="s">
        <v>31</v>
      </c>
      <c r="B29" s="65"/>
      <c r="C29" s="65"/>
      <c r="D29" s="65"/>
      <c r="E29" s="66"/>
      <c r="F29" s="66"/>
      <c r="G29" s="66"/>
      <c r="H29" s="66"/>
      <c r="I29" s="66"/>
      <c r="J29" s="66"/>
      <c r="K29" s="66"/>
      <c r="L29" s="69"/>
      <c r="M29" s="70" t="s">
        <v>32</v>
      </c>
      <c r="N29" s="214">
        <f>IF(N18="","",(N18+N22+N26)/3)</f>
        <v>8.9999999999998085E-3</v>
      </c>
      <c r="O29" s="215"/>
    </row>
    <row r="30" spans="1:15" ht="16.5" thickTop="1" thickBot="1">
      <c r="A30" s="71" t="s">
        <v>33</v>
      </c>
      <c r="B30" s="72"/>
      <c r="C30" s="66"/>
      <c r="D30" s="66"/>
      <c r="E30" s="66"/>
      <c r="F30" s="73" t="s">
        <v>34</v>
      </c>
      <c r="G30" s="66"/>
      <c r="H30" s="66"/>
      <c r="I30" s="66"/>
      <c r="J30" s="66"/>
      <c r="K30" s="74" t="s">
        <v>35</v>
      </c>
      <c r="L30" s="75">
        <f>IF(D32=3,N33,IF(D32=2,N32,""))</f>
        <v>2.58</v>
      </c>
      <c r="M30" s="76" t="s">
        <v>36</v>
      </c>
      <c r="N30" s="214">
        <f>IF(L30="","",N29*L30)</f>
        <v>2.3219999999999505E-2</v>
      </c>
      <c r="O30" s="215"/>
    </row>
    <row r="31" spans="1:15" ht="16.5" thickTop="1">
      <c r="A31" s="216" t="s">
        <v>15</v>
      </c>
      <c r="B31" s="217"/>
      <c r="C31" s="218"/>
      <c r="D31" s="77">
        <f>COUNT(A15:A26)</f>
        <v>3</v>
      </c>
      <c r="E31" s="219" t="s">
        <v>37</v>
      </c>
      <c r="F31" s="220"/>
      <c r="G31" s="221" t="s">
        <v>38</v>
      </c>
      <c r="H31" s="222"/>
      <c r="I31" s="183" t="s">
        <v>39</v>
      </c>
      <c r="J31" s="183"/>
      <c r="K31" s="223" t="s">
        <v>40</v>
      </c>
      <c r="L31" s="222"/>
      <c r="M31" s="78" t="s">
        <v>41</v>
      </c>
      <c r="N31" s="79" t="s">
        <v>42</v>
      </c>
      <c r="O31" s="80"/>
    </row>
    <row r="32" spans="1:15">
      <c r="A32" s="196" t="s">
        <v>43</v>
      </c>
      <c r="B32" s="197"/>
      <c r="C32" s="198"/>
      <c r="D32" s="81">
        <f>COUNT(C15:C17)</f>
        <v>3</v>
      </c>
      <c r="E32" s="199" t="s">
        <v>44</v>
      </c>
      <c r="F32" s="200"/>
      <c r="G32" s="201">
        <v>2</v>
      </c>
      <c r="H32" s="202"/>
      <c r="I32" s="203">
        <v>0.70709999999999995</v>
      </c>
      <c r="J32" s="203"/>
      <c r="K32" s="204">
        <v>2</v>
      </c>
      <c r="L32" s="202"/>
      <c r="M32" s="82">
        <v>0.88619999999999999</v>
      </c>
      <c r="N32" s="83">
        <v>3.27</v>
      </c>
      <c r="O32" s="84"/>
    </row>
    <row r="33" spans="1:15" ht="15.75" thickBot="1">
      <c r="A33" s="205" t="s">
        <v>45</v>
      </c>
      <c r="B33" s="206"/>
      <c r="C33" s="207"/>
      <c r="D33" s="85">
        <f>COUNT(C15:L15)</f>
        <v>10</v>
      </c>
      <c r="E33" s="208" t="s">
        <v>46</v>
      </c>
      <c r="F33" s="209"/>
      <c r="G33" s="210">
        <v>3</v>
      </c>
      <c r="H33" s="211"/>
      <c r="I33" s="212">
        <v>0.52310000000000001</v>
      </c>
      <c r="J33" s="212"/>
      <c r="K33" s="213">
        <v>3</v>
      </c>
      <c r="L33" s="211"/>
      <c r="M33" s="86">
        <v>0.59079999999999999</v>
      </c>
      <c r="N33" s="87">
        <v>2.58</v>
      </c>
      <c r="O33" s="88"/>
    </row>
    <row r="34" spans="1:15" ht="15.75" thickTop="1">
      <c r="A34" s="182" t="s">
        <v>47</v>
      </c>
      <c r="B34" s="183"/>
      <c r="C34" s="89">
        <v>2</v>
      </c>
      <c r="D34" s="90">
        <v>3</v>
      </c>
      <c r="E34" s="89">
        <v>4</v>
      </c>
      <c r="F34" s="90">
        <v>5</v>
      </c>
      <c r="G34" s="89">
        <v>6</v>
      </c>
      <c r="H34" s="90">
        <v>7</v>
      </c>
      <c r="I34" s="89">
        <v>8</v>
      </c>
      <c r="J34" s="89">
        <v>9</v>
      </c>
      <c r="K34" s="78">
        <v>10</v>
      </c>
      <c r="L34" s="91"/>
      <c r="M34" s="92"/>
      <c r="N34" s="92"/>
      <c r="O34" s="93"/>
    </row>
    <row r="35" spans="1:15" ht="16.5" thickBot="1">
      <c r="A35" s="184" t="s">
        <v>48</v>
      </c>
      <c r="B35" s="185"/>
      <c r="C35" s="94">
        <v>0.70709999999999995</v>
      </c>
      <c r="D35" s="95">
        <v>0.52310000000000001</v>
      </c>
      <c r="E35" s="95">
        <v>0.44669999999999999</v>
      </c>
      <c r="F35" s="95">
        <v>0.40300000000000002</v>
      </c>
      <c r="G35" s="95">
        <v>0.37419999999999998</v>
      </c>
      <c r="H35" s="95">
        <v>0.35339999999999999</v>
      </c>
      <c r="I35" s="95">
        <v>0.33750000000000002</v>
      </c>
      <c r="J35" s="95">
        <v>0.32490000000000002</v>
      </c>
      <c r="K35" s="96">
        <v>0.31459999999999999</v>
      </c>
      <c r="L35" s="97"/>
      <c r="M35" s="98"/>
      <c r="N35" s="98"/>
      <c r="O35" s="99"/>
    </row>
    <row r="36" spans="1:15" ht="35.25" customHeight="1" thickTop="1" thickBot="1">
      <c r="A36" s="186" t="s">
        <v>49</v>
      </c>
      <c r="B36" s="187"/>
      <c r="C36" s="187"/>
      <c r="D36" s="187"/>
      <c r="E36" s="187"/>
      <c r="F36" s="187"/>
      <c r="G36" s="187"/>
      <c r="H36" s="187"/>
      <c r="I36" s="187"/>
      <c r="J36" s="187"/>
      <c r="K36" s="187"/>
      <c r="L36" s="187"/>
      <c r="M36" s="187"/>
      <c r="N36" s="187"/>
      <c r="O36" s="188"/>
    </row>
    <row r="37" spans="1:15" ht="15.75" customHeight="1" thickTop="1">
      <c r="A37" s="165" t="s">
        <v>50</v>
      </c>
      <c r="B37" s="190" t="s">
        <v>51</v>
      </c>
      <c r="C37" s="191"/>
      <c r="D37" s="190" t="s">
        <v>52</v>
      </c>
      <c r="E37" s="192"/>
      <c r="F37" s="191"/>
      <c r="G37" s="190" t="s">
        <v>53</v>
      </c>
      <c r="H37" s="192"/>
      <c r="I37" s="191"/>
      <c r="J37" s="190" t="s">
        <v>54</v>
      </c>
      <c r="K37" s="192"/>
      <c r="L37" s="191"/>
      <c r="M37" s="193" t="s">
        <v>55</v>
      </c>
      <c r="N37" s="194"/>
      <c r="O37" s="195"/>
    </row>
    <row r="38" spans="1:15" ht="23.25">
      <c r="A38" s="189"/>
      <c r="B38" s="176" t="s">
        <v>56</v>
      </c>
      <c r="C38" s="178"/>
      <c r="D38" s="176" t="s">
        <v>57</v>
      </c>
      <c r="E38" s="177"/>
      <c r="F38" s="178"/>
      <c r="G38" s="176" t="s">
        <v>58</v>
      </c>
      <c r="H38" s="177"/>
      <c r="I38" s="178"/>
      <c r="J38" s="176" t="s">
        <v>59</v>
      </c>
      <c r="K38" s="177"/>
      <c r="L38" s="178"/>
      <c r="M38" s="176" t="s">
        <v>60</v>
      </c>
      <c r="N38" s="177"/>
      <c r="O38" s="179"/>
    </row>
    <row r="39" spans="1:15" ht="16.5" thickBot="1">
      <c r="A39" s="166"/>
      <c r="B39" s="100" t="s">
        <v>61</v>
      </c>
      <c r="C39" s="101">
        <f>IF(C15="","",IF(COUNT(C15:C17)&lt;3,N29*M32,N29*M33))</f>
        <v>5.3171999999998866E-3</v>
      </c>
      <c r="D39" s="102" t="s">
        <v>62</v>
      </c>
      <c r="E39" s="103">
        <f>IF(C39="","",IF(POWER(N28*SUMIF(G32:H33,D31,I32:J33),2)-POWER(C39,2)/(D33*D32)&lt;0,"0.000",SQRT(POWER(N28*SUMIF(G32:H33,D31,I32:J33),2)-POWER(C39,2)/(D33*D32))))</f>
        <v>1.4484311914765558E-3</v>
      </c>
      <c r="F39" s="104"/>
      <c r="G39" s="102" t="s">
        <v>63</v>
      </c>
      <c r="H39" s="105">
        <f>IF(E39="","",SQRT(POWER(C39,2)+POWER(E39,2)))</f>
        <v>5.5109498960198315E-3</v>
      </c>
      <c r="I39" s="104"/>
      <c r="J39" s="102" t="s">
        <v>64</v>
      </c>
      <c r="K39" s="105">
        <f>IF(H39="","",N27*SUMIF(C34:K34,D33,C35:K35))</f>
        <v>5.5928888888886457E-3</v>
      </c>
      <c r="L39" s="106"/>
      <c r="M39" s="107" t="s">
        <v>65</v>
      </c>
      <c r="N39" s="105">
        <f>IF(H39="","",SQRT(POWER(H39,2)+POWER(K39,2)))</f>
        <v>7.8518134771462227E-3</v>
      </c>
      <c r="O39" s="99"/>
    </row>
    <row r="40" spans="1:15" ht="16.5" customHeight="1" thickTop="1">
      <c r="A40" s="165" t="s">
        <v>66</v>
      </c>
      <c r="B40" s="180" t="s">
        <v>67</v>
      </c>
      <c r="C40" s="181"/>
      <c r="D40" s="176" t="s">
        <v>68</v>
      </c>
      <c r="E40" s="177"/>
      <c r="F40" s="178"/>
      <c r="G40" s="176" t="s">
        <v>69</v>
      </c>
      <c r="H40" s="177"/>
      <c r="I40" s="178"/>
      <c r="J40" s="176" t="s">
        <v>70</v>
      </c>
      <c r="K40" s="177"/>
      <c r="L40" s="178"/>
      <c r="M40" s="176" t="s">
        <v>71</v>
      </c>
      <c r="N40" s="177"/>
      <c r="O40" s="178"/>
    </row>
    <row r="41" spans="1:15" ht="16.5" thickBot="1">
      <c r="A41" s="166"/>
      <c r="B41" s="100" t="s">
        <v>72</v>
      </c>
      <c r="C41" s="108">
        <f>IF(C39="","",C39/$N$39)</f>
        <v>0.67719387571754275</v>
      </c>
      <c r="D41" s="102" t="s">
        <v>73</v>
      </c>
      <c r="E41" s="109">
        <f>IF(E39="","",E39/$N$39)</f>
        <v>0.1844709118081336</v>
      </c>
      <c r="F41" s="104"/>
      <c r="G41" s="102" t="s">
        <v>74</v>
      </c>
      <c r="H41" s="109">
        <f>IF(H39="","",H39/$N$39)</f>
        <v>0.7018696906211801</v>
      </c>
      <c r="I41" s="104"/>
      <c r="J41" s="102" t="s">
        <v>75</v>
      </c>
      <c r="K41" s="109">
        <f>IF(K39="","",K39/$N$39)</f>
        <v>0.7123053680742053</v>
      </c>
      <c r="L41" s="106"/>
      <c r="M41" s="102" t="s">
        <v>76</v>
      </c>
      <c r="N41" s="110">
        <f>1.41*(K39/H39)</f>
        <v>1.4309644402734398</v>
      </c>
      <c r="O41" s="106"/>
    </row>
    <row r="42" spans="1:15" ht="16.5" customHeight="1" thickTop="1">
      <c r="A42" s="165" t="s">
        <v>77</v>
      </c>
      <c r="B42" s="167" t="s">
        <v>78</v>
      </c>
      <c r="C42" s="168"/>
      <c r="D42" s="169" t="s">
        <v>79</v>
      </c>
      <c r="E42" s="170"/>
      <c r="F42" s="171"/>
      <c r="G42" s="169" t="s">
        <v>80</v>
      </c>
      <c r="H42" s="170"/>
      <c r="I42" s="171"/>
      <c r="J42" s="111"/>
      <c r="K42" s="112"/>
      <c r="L42" s="113"/>
      <c r="M42" s="114"/>
      <c r="N42" s="115"/>
      <c r="O42" s="116"/>
    </row>
    <row r="43" spans="1:15" ht="16.5" thickBot="1">
      <c r="A43" s="166"/>
      <c r="B43" s="100" t="s">
        <v>72</v>
      </c>
      <c r="C43" s="117">
        <f>IF(C39="","",C39/($G$11/6))</f>
        <v>6.3806399999998639E-2</v>
      </c>
      <c r="D43" s="102" t="s">
        <v>73</v>
      </c>
      <c r="E43" s="118">
        <f>IF(E39="","",E39/($G$11/6))</f>
        <v>1.7381174297718672E-2</v>
      </c>
      <c r="F43" s="104"/>
      <c r="G43" s="102" t="s">
        <v>74</v>
      </c>
      <c r="H43" s="118">
        <f>IF(H39="","",H39/($G$11/6))</f>
        <v>6.6131398752237988E-2</v>
      </c>
      <c r="I43" s="104"/>
      <c r="J43" s="102"/>
      <c r="K43" s="118"/>
      <c r="L43" s="106"/>
      <c r="M43" s="119"/>
      <c r="N43" s="98"/>
      <c r="O43" s="99"/>
    </row>
    <row r="44" spans="1:15" ht="16.5" thickTop="1" thickBot="1">
      <c r="A44" s="120" t="s">
        <v>81</v>
      </c>
      <c r="B44" s="121"/>
      <c r="C44" s="121"/>
      <c r="D44" s="121"/>
      <c r="E44" s="121"/>
      <c r="F44" s="121"/>
      <c r="G44" s="121"/>
      <c r="H44" s="121"/>
      <c r="I44" s="122" t="s">
        <v>82</v>
      </c>
      <c r="J44" s="121"/>
      <c r="K44" s="121"/>
      <c r="L44" s="121"/>
      <c r="M44" s="121"/>
      <c r="N44" s="121"/>
      <c r="O44" s="123"/>
    </row>
    <row r="45" spans="1:15" ht="15.75" customHeight="1" thickTop="1">
      <c r="A45" s="124"/>
      <c r="B45" s="125"/>
      <c r="C45" s="125"/>
      <c r="D45" s="125"/>
      <c r="E45" s="125"/>
      <c r="F45" s="125"/>
      <c r="G45" s="125"/>
      <c r="H45" s="125"/>
      <c r="I45" s="172" t="s">
        <v>83</v>
      </c>
      <c r="J45" s="173"/>
      <c r="K45" s="174" t="s">
        <v>84</v>
      </c>
      <c r="L45" s="174"/>
      <c r="M45" s="174"/>
      <c r="N45" s="174"/>
      <c r="O45" s="175"/>
    </row>
    <row r="46" spans="1:15" ht="18" customHeight="1">
      <c r="A46" s="124"/>
      <c r="B46" s="125"/>
      <c r="C46" s="125"/>
      <c r="D46" s="125"/>
      <c r="E46" s="125"/>
      <c r="F46" s="125"/>
      <c r="G46" s="125"/>
      <c r="H46" s="125"/>
      <c r="I46" s="153" t="s">
        <v>85</v>
      </c>
      <c r="J46" s="154"/>
      <c r="K46" s="155" t="s">
        <v>86</v>
      </c>
      <c r="L46" s="155"/>
      <c r="M46" s="155"/>
      <c r="N46" s="155"/>
      <c r="O46" s="156"/>
    </row>
    <row r="47" spans="1:15" ht="25.5" customHeight="1">
      <c r="A47" s="124"/>
      <c r="B47" s="125"/>
      <c r="C47" s="125"/>
      <c r="D47" s="125"/>
      <c r="E47" s="125"/>
      <c r="F47" s="125"/>
      <c r="G47" s="125"/>
      <c r="H47" s="125"/>
      <c r="I47" s="157" t="s">
        <v>87</v>
      </c>
      <c r="J47" s="158"/>
      <c r="K47" s="159" t="s">
        <v>88</v>
      </c>
      <c r="L47" s="159"/>
      <c r="M47" s="159"/>
      <c r="N47" s="159"/>
      <c r="O47" s="160"/>
    </row>
    <row r="48" spans="1:15" ht="29.25" customHeight="1" thickBot="1">
      <c r="A48" s="124"/>
      <c r="B48" s="125"/>
      <c r="C48" s="125"/>
      <c r="D48" s="125"/>
      <c r="E48" s="125"/>
      <c r="F48" s="125"/>
      <c r="G48" s="125"/>
      <c r="H48" s="125"/>
      <c r="I48" s="161" t="s">
        <v>89</v>
      </c>
      <c r="J48" s="162"/>
      <c r="K48" s="163" t="s">
        <v>90</v>
      </c>
      <c r="L48" s="163"/>
      <c r="M48" s="163"/>
      <c r="N48" s="163"/>
      <c r="O48" s="164"/>
    </row>
    <row r="49" spans="1:15" ht="15.75" thickTop="1">
      <c r="A49" s="124"/>
      <c r="B49" s="125"/>
      <c r="C49" s="125"/>
      <c r="D49" s="125"/>
      <c r="E49" s="125"/>
      <c r="F49" s="125"/>
      <c r="G49" s="125"/>
      <c r="H49" s="125"/>
      <c r="I49" s="142" t="s">
        <v>91</v>
      </c>
      <c r="J49" s="143"/>
      <c r="K49" s="143"/>
      <c r="L49" s="143"/>
      <c r="M49" s="143"/>
      <c r="N49" s="143"/>
      <c r="O49" s="144"/>
    </row>
    <row r="50" spans="1:15">
      <c r="A50" s="124"/>
      <c r="B50" s="125"/>
      <c r="C50" s="125"/>
      <c r="D50" s="125"/>
      <c r="E50" s="125"/>
      <c r="F50" s="125"/>
      <c r="G50" s="145"/>
      <c r="H50" s="146"/>
      <c r="I50" s="147" t="s">
        <v>92</v>
      </c>
      <c r="J50" s="148"/>
      <c r="K50" s="148"/>
      <c r="L50" s="148"/>
      <c r="M50" s="148"/>
      <c r="N50" s="148"/>
      <c r="O50" s="149"/>
    </row>
    <row r="51" spans="1:15" ht="15" customHeight="1">
      <c r="A51" s="124"/>
      <c r="B51" s="125"/>
      <c r="C51" s="125"/>
      <c r="D51" s="125"/>
      <c r="E51" s="125"/>
      <c r="F51" s="125"/>
      <c r="G51" s="126"/>
      <c r="H51" s="127"/>
      <c r="I51" s="150" t="s">
        <v>93</v>
      </c>
      <c r="J51" s="151"/>
      <c r="K51" s="151"/>
      <c r="L51" s="151"/>
      <c r="M51" s="151"/>
      <c r="N51" s="151"/>
      <c r="O51" s="152"/>
    </row>
    <row r="52" spans="1:15">
      <c r="A52" s="124"/>
      <c r="B52" s="125"/>
      <c r="C52" s="125"/>
      <c r="D52" s="125"/>
      <c r="E52" s="125"/>
      <c r="F52" s="125"/>
      <c r="G52" s="126"/>
      <c r="H52" s="127"/>
      <c r="I52" s="136" t="s">
        <v>94</v>
      </c>
      <c r="J52" s="137"/>
      <c r="K52" s="137"/>
      <c r="L52" s="137"/>
      <c r="M52" s="137"/>
      <c r="N52" s="137"/>
      <c r="O52" s="138"/>
    </row>
    <row r="53" spans="1:15">
      <c r="A53" s="124"/>
      <c r="B53" s="125"/>
      <c r="C53" s="125"/>
      <c r="D53" s="125"/>
      <c r="E53" s="125"/>
      <c r="F53" s="125"/>
      <c r="G53" s="126"/>
      <c r="H53" s="127"/>
      <c r="I53" s="147" t="s">
        <v>95</v>
      </c>
      <c r="J53" s="148"/>
      <c r="K53" s="148"/>
      <c r="L53" s="148"/>
      <c r="M53" s="148"/>
      <c r="N53" s="148"/>
      <c r="O53" s="149"/>
    </row>
    <row r="54" spans="1:15">
      <c r="A54" s="124"/>
      <c r="B54" s="125"/>
      <c r="C54" s="125"/>
      <c r="D54" s="125"/>
      <c r="E54" s="125"/>
      <c r="F54" s="125"/>
      <c r="G54" s="126"/>
      <c r="H54" s="127"/>
      <c r="I54" s="136" t="s">
        <v>96</v>
      </c>
      <c r="J54" s="137"/>
      <c r="K54" s="137"/>
      <c r="L54" s="137"/>
      <c r="M54" s="137"/>
      <c r="N54" s="137"/>
      <c r="O54" s="138"/>
    </row>
    <row r="55" spans="1:15" ht="15.75" thickBot="1">
      <c r="A55" s="128"/>
      <c r="B55" s="129"/>
      <c r="C55" s="129"/>
      <c r="D55" s="129"/>
      <c r="E55" s="129"/>
      <c r="F55" s="129"/>
      <c r="G55" s="130"/>
      <c r="H55" s="131"/>
      <c r="I55" s="139" t="s">
        <v>97</v>
      </c>
      <c r="J55" s="140"/>
      <c r="K55" s="140"/>
      <c r="L55" s="140"/>
      <c r="M55" s="140"/>
      <c r="N55" s="140"/>
      <c r="O55" s="141"/>
    </row>
    <row r="56" spans="1:15" ht="15.75" thickTop="1">
      <c r="A56" t="s">
        <v>107</v>
      </c>
    </row>
  </sheetData>
  <mergeCells count="87">
    <mergeCell ref="A1:O1"/>
    <mergeCell ref="A2:N2"/>
    <mergeCell ref="A3:C3"/>
    <mergeCell ref="J3:O3"/>
    <mergeCell ref="D4:I4"/>
    <mergeCell ref="J4:K4"/>
    <mergeCell ref="L4:M4"/>
    <mergeCell ref="N4:O4"/>
    <mergeCell ref="A13:A14"/>
    <mergeCell ref="B13:B14"/>
    <mergeCell ref="C13:L13"/>
    <mergeCell ref="M13:M14"/>
    <mergeCell ref="N13:O14"/>
    <mergeCell ref="D9:I9"/>
    <mergeCell ref="E11:F11"/>
    <mergeCell ref="J11:K11"/>
    <mergeCell ref="L11:M11"/>
    <mergeCell ref="N11:O11"/>
    <mergeCell ref="N28:O28"/>
    <mergeCell ref="A15:A17"/>
    <mergeCell ref="N16:O16"/>
    <mergeCell ref="N18:O18"/>
    <mergeCell ref="A19:A21"/>
    <mergeCell ref="N20:O20"/>
    <mergeCell ref="N22:O22"/>
    <mergeCell ref="A23:A25"/>
    <mergeCell ref="N24:O24"/>
    <mergeCell ref="N26:O26"/>
    <mergeCell ref="A27:B27"/>
    <mergeCell ref="N27:O27"/>
    <mergeCell ref="N29:O29"/>
    <mergeCell ref="N30:O30"/>
    <mergeCell ref="A31:C31"/>
    <mergeCell ref="E31:F31"/>
    <mergeCell ref="G31:H31"/>
    <mergeCell ref="I31:J31"/>
    <mergeCell ref="K31:L31"/>
    <mergeCell ref="A33:C33"/>
    <mergeCell ref="E33:F33"/>
    <mergeCell ref="G33:H33"/>
    <mergeCell ref="I33:J33"/>
    <mergeCell ref="K33:L33"/>
    <mergeCell ref="A32:C32"/>
    <mergeCell ref="E32:F32"/>
    <mergeCell ref="G32:H32"/>
    <mergeCell ref="I32:J32"/>
    <mergeCell ref="K32:L32"/>
    <mergeCell ref="A34:B34"/>
    <mergeCell ref="A35:B35"/>
    <mergeCell ref="A36:O36"/>
    <mergeCell ref="A37:A39"/>
    <mergeCell ref="B37:C37"/>
    <mergeCell ref="D37:F37"/>
    <mergeCell ref="G37:I37"/>
    <mergeCell ref="J37:L37"/>
    <mergeCell ref="M37:O37"/>
    <mergeCell ref="B38:C38"/>
    <mergeCell ref="A40:A41"/>
    <mergeCell ref="B40:C40"/>
    <mergeCell ref="D40:F40"/>
    <mergeCell ref="G40:I40"/>
    <mergeCell ref="J40:L40"/>
    <mergeCell ref="K45:O45"/>
    <mergeCell ref="D38:F38"/>
    <mergeCell ref="G38:I38"/>
    <mergeCell ref="J38:L38"/>
    <mergeCell ref="M38:O38"/>
    <mergeCell ref="M40:O40"/>
    <mergeCell ref="A42:A43"/>
    <mergeCell ref="B42:C42"/>
    <mergeCell ref="D42:F42"/>
    <mergeCell ref="G42:I42"/>
    <mergeCell ref="I45:J45"/>
    <mergeCell ref="I46:J46"/>
    <mergeCell ref="K46:O46"/>
    <mergeCell ref="I47:J47"/>
    <mergeCell ref="K47:O47"/>
    <mergeCell ref="I48:J48"/>
    <mergeCell ref="K48:O48"/>
    <mergeCell ref="I54:O54"/>
    <mergeCell ref="I55:O55"/>
    <mergeCell ref="I49:O49"/>
    <mergeCell ref="G50:H50"/>
    <mergeCell ref="I50:O50"/>
    <mergeCell ref="I51:O51"/>
    <mergeCell ref="I52:O52"/>
    <mergeCell ref="I53:O53"/>
  </mergeCells>
  <pageMargins left="0" right="0" top="0" bottom="0" header="0" footer="0"/>
  <pageSetup scale="77"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FFADA-419F-4E66-A5DB-D263B88A4A10}">
  <sheetPr>
    <pageSetUpPr fitToPage="1"/>
  </sheetPr>
  <dimension ref="A1:O56"/>
  <sheetViews>
    <sheetView workbookViewId="0">
      <selection activeCell="A56" sqref="A56"/>
    </sheetView>
  </sheetViews>
  <sheetFormatPr defaultRowHeight="15"/>
  <sheetData>
    <row r="1" spans="1:15" ht="18.75">
      <c r="A1" s="254" t="s">
        <v>0</v>
      </c>
      <c r="B1" s="254"/>
      <c r="C1" s="254"/>
      <c r="D1" s="254"/>
      <c r="E1" s="254"/>
      <c r="F1" s="254"/>
      <c r="G1" s="254"/>
      <c r="H1" s="254"/>
      <c r="I1" s="254"/>
      <c r="J1" s="254"/>
      <c r="K1" s="254"/>
      <c r="L1" s="254"/>
      <c r="M1" s="254"/>
      <c r="N1" s="254"/>
      <c r="O1" s="254"/>
    </row>
    <row r="2" spans="1:15" ht="16.5" thickBot="1">
      <c r="A2" s="255" t="s">
        <v>1</v>
      </c>
      <c r="B2" s="255"/>
      <c r="C2" s="255"/>
      <c r="D2" s="255"/>
      <c r="E2" s="255"/>
      <c r="F2" s="255"/>
      <c r="G2" s="255"/>
      <c r="H2" s="255"/>
      <c r="I2" s="255"/>
      <c r="J2" s="255"/>
      <c r="K2" s="255"/>
      <c r="L2" s="255"/>
      <c r="M2" s="255"/>
      <c r="N2" s="255"/>
      <c r="O2" s="1"/>
    </row>
    <row r="3" spans="1:15" ht="16.5" thickBot="1">
      <c r="A3" s="256"/>
      <c r="B3" s="256"/>
      <c r="C3" s="256"/>
      <c r="D3" s="1"/>
      <c r="E3" s="1"/>
      <c r="F3" s="1"/>
      <c r="G3" s="1"/>
      <c r="H3" s="2"/>
      <c r="I3" s="2"/>
      <c r="J3" s="257" t="s">
        <v>2</v>
      </c>
      <c r="K3" s="258"/>
      <c r="L3" s="258"/>
      <c r="M3" s="258"/>
      <c r="N3" s="258"/>
      <c r="O3" s="259"/>
    </row>
    <row r="4" spans="1:15" ht="16.5" thickBot="1">
      <c r="A4" s="3" t="s">
        <v>3</v>
      </c>
      <c r="B4" s="4"/>
      <c r="C4" s="5"/>
      <c r="D4" s="260">
        <v>45279</v>
      </c>
      <c r="E4" s="261"/>
      <c r="F4" s="261"/>
      <c r="G4" s="261"/>
      <c r="H4" s="261"/>
      <c r="I4" s="262"/>
      <c r="J4" s="241" t="s">
        <v>4</v>
      </c>
      <c r="K4" s="242"/>
      <c r="L4" s="241" t="s">
        <v>5</v>
      </c>
      <c r="M4" s="242"/>
      <c r="N4" s="241" t="s">
        <v>6</v>
      </c>
      <c r="O4" s="242"/>
    </row>
    <row r="5" spans="1:15" ht="15.75">
      <c r="A5" s="6" t="s">
        <v>102</v>
      </c>
      <c r="B5" s="7"/>
      <c r="C5" s="8"/>
      <c r="D5" s="132" t="s">
        <v>103</v>
      </c>
      <c r="E5" s="132"/>
      <c r="F5" s="132"/>
      <c r="G5" s="132"/>
      <c r="H5" s="132"/>
      <c r="I5" s="132"/>
      <c r="J5" s="133"/>
      <c r="K5" s="134"/>
      <c r="L5" s="135"/>
      <c r="M5" s="134"/>
      <c r="N5" s="135"/>
      <c r="O5" s="134"/>
    </row>
    <row r="6" spans="1:15" ht="15.75">
      <c r="A6" s="6" t="s">
        <v>7</v>
      </c>
      <c r="B6" s="7"/>
      <c r="C6" s="8"/>
      <c r="D6" s="9" t="s">
        <v>104</v>
      </c>
      <c r="E6" s="9"/>
      <c r="F6" s="10"/>
      <c r="G6" s="10"/>
      <c r="H6" s="11"/>
      <c r="I6" s="12"/>
      <c r="J6" s="13"/>
      <c r="K6" s="14"/>
      <c r="L6" s="1"/>
      <c r="M6" s="14"/>
      <c r="N6" s="1"/>
      <c r="O6" s="14"/>
    </row>
    <row r="7" spans="1:15" ht="15.75">
      <c r="A7" s="6" t="s">
        <v>8</v>
      </c>
      <c r="B7" s="7"/>
      <c r="C7" s="8"/>
      <c r="D7" s="9" t="s">
        <v>106</v>
      </c>
      <c r="E7" s="9"/>
      <c r="F7" s="9"/>
      <c r="G7" s="9"/>
      <c r="H7" s="9"/>
      <c r="I7" s="15"/>
      <c r="J7" s="13"/>
      <c r="K7" s="14"/>
      <c r="L7" s="1"/>
      <c r="M7" s="14"/>
      <c r="N7" s="1"/>
      <c r="O7" s="14"/>
    </row>
    <row r="8" spans="1:15" ht="15.75">
      <c r="A8" s="6" t="s">
        <v>9</v>
      </c>
      <c r="B8" s="7"/>
      <c r="C8" s="8"/>
      <c r="D8" s="16" t="s">
        <v>105</v>
      </c>
      <c r="E8" s="17"/>
      <c r="F8" s="16"/>
      <c r="G8" s="16"/>
      <c r="H8" s="16"/>
      <c r="I8" s="18"/>
      <c r="J8" s="13"/>
      <c r="K8" s="14"/>
      <c r="L8" s="1"/>
      <c r="M8" s="14"/>
      <c r="N8" s="1"/>
      <c r="O8" s="14"/>
    </row>
    <row r="9" spans="1:15" ht="15.75">
      <c r="A9" s="6" t="s">
        <v>10</v>
      </c>
      <c r="B9" s="19"/>
      <c r="C9" s="20"/>
      <c r="D9" s="237" t="s">
        <v>98</v>
      </c>
      <c r="E9" s="238"/>
      <c r="F9" s="238"/>
      <c r="G9" s="238"/>
      <c r="H9" s="238"/>
      <c r="I9" s="239"/>
      <c r="J9" s="13"/>
      <c r="K9" s="14"/>
      <c r="L9" s="1"/>
      <c r="M9" s="14"/>
      <c r="N9" s="1"/>
      <c r="O9" s="14"/>
    </row>
    <row r="10" spans="1:15" ht="16.5" thickBot="1">
      <c r="A10" s="21"/>
      <c r="B10" s="22"/>
      <c r="C10" s="23"/>
      <c r="D10" s="24"/>
      <c r="E10" s="25"/>
      <c r="F10" s="25"/>
      <c r="G10" s="26"/>
      <c r="H10" s="26"/>
      <c r="I10" s="27"/>
      <c r="J10" s="28"/>
      <c r="K10" s="29"/>
      <c r="L10" s="2"/>
      <c r="M10" s="29"/>
      <c r="N10" s="2"/>
      <c r="O10" s="29"/>
    </row>
    <row r="11" spans="1:15" ht="16.5" thickBot="1">
      <c r="A11" s="30" t="s">
        <v>11</v>
      </c>
      <c r="B11" s="31">
        <v>6.5</v>
      </c>
      <c r="C11" s="32" t="s">
        <v>12</v>
      </c>
      <c r="D11" s="31">
        <v>7.5</v>
      </c>
      <c r="E11" s="240" t="s">
        <v>13</v>
      </c>
      <c r="F11" s="240"/>
      <c r="G11" s="33">
        <f>(D11-B11)/2</f>
        <v>0.5</v>
      </c>
      <c r="H11" s="34" t="s">
        <v>14</v>
      </c>
      <c r="I11" s="35"/>
      <c r="J11" s="241"/>
      <c r="K11" s="242"/>
      <c r="L11" s="241"/>
      <c r="M11" s="242"/>
      <c r="N11" s="241"/>
      <c r="O11" s="242"/>
    </row>
    <row r="12" spans="1:15" ht="16.5" thickBot="1">
      <c r="A12" s="1"/>
      <c r="B12" s="1"/>
      <c r="C12" s="1"/>
      <c r="D12" s="1"/>
      <c r="E12" s="1"/>
      <c r="F12" s="1"/>
      <c r="G12" s="1"/>
      <c r="H12" s="1"/>
      <c r="I12" s="1"/>
      <c r="J12" s="1"/>
      <c r="K12" s="1"/>
      <c r="L12" s="1"/>
      <c r="M12" s="1"/>
      <c r="N12" s="1"/>
      <c r="O12" s="1"/>
    </row>
    <row r="13" spans="1:15" ht="15.75" customHeight="1" thickTop="1">
      <c r="A13" s="243" t="s">
        <v>15</v>
      </c>
      <c r="B13" s="245" t="s">
        <v>16</v>
      </c>
      <c r="C13" s="247" t="s">
        <v>17</v>
      </c>
      <c r="D13" s="248"/>
      <c r="E13" s="248"/>
      <c r="F13" s="248"/>
      <c r="G13" s="248"/>
      <c r="H13" s="248"/>
      <c r="I13" s="248"/>
      <c r="J13" s="248"/>
      <c r="K13" s="248"/>
      <c r="L13" s="249"/>
      <c r="M13" s="250" t="s">
        <v>18</v>
      </c>
      <c r="N13" s="250" t="s">
        <v>19</v>
      </c>
      <c r="O13" s="252"/>
    </row>
    <row r="14" spans="1:15">
      <c r="A14" s="244"/>
      <c r="B14" s="246"/>
      <c r="C14" s="36">
        <v>1</v>
      </c>
      <c r="D14" s="36">
        <v>2</v>
      </c>
      <c r="E14" s="36">
        <v>3</v>
      </c>
      <c r="F14" s="36">
        <v>4</v>
      </c>
      <c r="G14" s="36">
        <v>5</v>
      </c>
      <c r="H14" s="36">
        <v>6</v>
      </c>
      <c r="I14" s="36">
        <v>7</v>
      </c>
      <c r="J14" s="36">
        <v>8</v>
      </c>
      <c r="K14" s="36">
        <v>9</v>
      </c>
      <c r="L14" s="36">
        <v>10</v>
      </c>
      <c r="M14" s="251"/>
      <c r="N14" s="251"/>
      <c r="O14" s="253"/>
    </row>
    <row r="15" spans="1:15">
      <c r="A15" s="226" t="s">
        <v>99</v>
      </c>
      <c r="B15" s="37">
        <v>1</v>
      </c>
      <c r="C15" s="38">
        <v>7.1</v>
      </c>
      <c r="D15" s="38">
        <v>7.1</v>
      </c>
      <c r="E15" s="38">
        <v>7.1</v>
      </c>
      <c r="F15" s="38">
        <v>7.1</v>
      </c>
      <c r="G15" s="38">
        <v>7.1</v>
      </c>
      <c r="H15" s="38">
        <v>7.07</v>
      </c>
      <c r="I15" s="38">
        <v>7.1</v>
      </c>
      <c r="J15" s="38">
        <v>7.1</v>
      </c>
      <c r="K15" s="38">
        <v>7.08</v>
      </c>
      <c r="L15" s="38">
        <v>7.1</v>
      </c>
      <c r="M15" s="39">
        <f>IF(C15="","",AVERAGE(C15:L15))</f>
        <v>7.0950000000000006</v>
      </c>
      <c r="N15" s="40" t="s">
        <v>20</v>
      </c>
      <c r="O15" s="41"/>
    </row>
    <row r="16" spans="1:15">
      <c r="A16" s="227"/>
      <c r="B16" s="42">
        <v>2</v>
      </c>
      <c r="C16" s="38">
        <v>7.1</v>
      </c>
      <c r="D16" s="38">
        <v>7.1</v>
      </c>
      <c r="E16" s="38">
        <v>7.1</v>
      </c>
      <c r="F16" s="38">
        <v>7.1</v>
      </c>
      <c r="G16" s="38">
        <v>7.09</v>
      </c>
      <c r="H16" s="38">
        <v>7.08</v>
      </c>
      <c r="I16" s="38">
        <v>7.1</v>
      </c>
      <c r="J16" s="38">
        <v>7.1</v>
      </c>
      <c r="K16" s="38">
        <v>7.08</v>
      </c>
      <c r="L16" s="38">
        <v>7.1</v>
      </c>
      <c r="M16" s="43">
        <f>IF(C16="","",AVERAGE(C16:L16))</f>
        <v>7.0949999999999989</v>
      </c>
      <c r="N16" s="228">
        <f>IF(COUNT(C15:L17)=0,"",AVERAGE(C15:L17))</f>
        <v>7.092666666666668</v>
      </c>
      <c r="O16" s="229"/>
    </row>
    <row r="17" spans="1:15">
      <c r="A17" s="227"/>
      <c r="B17" s="44">
        <v>3</v>
      </c>
      <c r="C17" s="38">
        <v>7.1</v>
      </c>
      <c r="D17" s="38">
        <v>7.08</v>
      </c>
      <c r="E17" s="38">
        <v>7.1</v>
      </c>
      <c r="F17" s="38">
        <v>7.09</v>
      </c>
      <c r="G17" s="38">
        <v>7.08</v>
      </c>
      <c r="H17" s="38">
        <v>7.08</v>
      </c>
      <c r="I17" s="38">
        <v>7.08</v>
      </c>
      <c r="J17" s="38">
        <v>7.1</v>
      </c>
      <c r="K17" s="38">
        <v>7.08</v>
      </c>
      <c r="L17" s="38">
        <v>7.09</v>
      </c>
      <c r="M17" s="45">
        <f>IF(C17="","",AVERAGE(C17:L17))</f>
        <v>7.0879999999999992</v>
      </c>
      <c r="N17" s="46"/>
      <c r="O17" s="47"/>
    </row>
    <row r="18" spans="1:15" ht="15.75" thickBot="1">
      <c r="A18" s="48">
        <v>1</v>
      </c>
      <c r="B18" s="49" t="s">
        <v>21</v>
      </c>
      <c r="C18" s="50">
        <f>IF(COUNT(C15:C17)&lt;2,"",MAX(C15:C17)-MIN(C15:C17))</f>
        <v>0</v>
      </c>
      <c r="D18" s="50">
        <f t="shared" ref="D18:K18" si="0">IF(COUNT(D15:D17)&lt;2,"",MAX(D15:D17)-MIN(D15:D17))</f>
        <v>1.9999999999999574E-2</v>
      </c>
      <c r="E18" s="50">
        <f t="shared" si="0"/>
        <v>0</v>
      </c>
      <c r="F18" s="50">
        <f t="shared" si="0"/>
        <v>9.9999999999997868E-3</v>
      </c>
      <c r="G18" s="50">
        <f>IF(COUNT(G15:G17)&lt;2,"",MAX(G15:G17)-MIN(G15:G17))</f>
        <v>1.9999999999999574E-2</v>
      </c>
      <c r="H18" s="50">
        <f t="shared" si="0"/>
        <v>9.9999999999997868E-3</v>
      </c>
      <c r="I18" s="50">
        <f t="shared" si="0"/>
        <v>1.9999999999999574E-2</v>
      </c>
      <c r="J18" s="50">
        <f t="shared" si="0"/>
        <v>0</v>
      </c>
      <c r="K18" s="50">
        <f t="shared" si="0"/>
        <v>0</v>
      </c>
      <c r="L18" s="50">
        <f>IF(COUNT(L15:L17)&lt;2,"",MAX(L15:L17)-MIN(L15:L17))</f>
        <v>9.9999999999997868E-3</v>
      </c>
      <c r="M18" s="51" t="s">
        <v>22</v>
      </c>
      <c r="N18" s="230">
        <f>IF(COUNT(C18:L18)=0,"",AVERAGE(C18:L18))</f>
        <v>8.9999999999998085E-3</v>
      </c>
      <c r="O18" s="231"/>
    </row>
    <row r="19" spans="1:15" ht="15.75" customHeight="1" thickTop="1">
      <c r="A19" s="232" t="s">
        <v>100</v>
      </c>
      <c r="B19" s="52">
        <v>1</v>
      </c>
      <c r="C19" s="38">
        <v>7.1</v>
      </c>
      <c r="D19" s="38">
        <v>7.09</v>
      </c>
      <c r="E19" s="38">
        <v>7.09</v>
      </c>
      <c r="F19" s="38">
        <v>7.08</v>
      </c>
      <c r="G19" s="38">
        <v>7.1</v>
      </c>
      <c r="H19" s="38">
        <v>7.08</v>
      </c>
      <c r="I19" s="38">
        <v>7.09</v>
      </c>
      <c r="J19" s="38">
        <v>7.1</v>
      </c>
      <c r="K19" s="38">
        <v>7.08</v>
      </c>
      <c r="L19" s="38">
        <v>7.1</v>
      </c>
      <c r="M19" s="53">
        <f>IF(C19="","",AVERAGE(C19:L19))</f>
        <v>7.0909999999999993</v>
      </c>
      <c r="N19" s="54" t="s">
        <v>23</v>
      </c>
      <c r="O19" s="55"/>
    </row>
    <row r="20" spans="1:15">
      <c r="A20" s="227"/>
      <c r="B20" s="42">
        <v>2</v>
      </c>
      <c r="C20" s="38">
        <v>7.09</v>
      </c>
      <c r="D20" s="38">
        <v>7.1</v>
      </c>
      <c r="E20" s="38">
        <v>7.09</v>
      </c>
      <c r="F20" s="38">
        <v>7.09</v>
      </c>
      <c r="G20" s="38">
        <v>7.08</v>
      </c>
      <c r="H20" s="38">
        <v>7.08</v>
      </c>
      <c r="I20" s="38">
        <v>7.09</v>
      </c>
      <c r="J20" s="38">
        <v>7.09</v>
      </c>
      <c r="K20" s="38">
        <v>7.08</v>
      </c>
      <c r="L20" s="38">
        <v>7.1</v>
      </c>
      <c r="M20" s="56">
        <f>IF(C20="","",AVERAGE(C20:L20))</f>
        <v>7.0890000000000004</v>
      </c>
      <c r="N20" s="228">
        <f>IF(COUNT(C19:L21)=0,"",AVERAGE(C19:L21))</f>
        <v>7.0916666666666668</v>
      </c>
      <c r="O20" s="229"/>
    </row>
    <row r="21" spans="1:15">
      <c r="A21" s="227"/>
      <c r="B21" s="44">
        <v>3</v>
      </c>
      <c r="C21" s="38">
        <v>7.1</v>
      </c>
      <c r="D21" s="38">
        <v>7.1</v>
      </c>
      <c r="E21" s="38">
        <v>7.1</v>
      </c>
      <c r="F21" s="38">
        <v>7.09</v>
      </c>
      <c r="G21" s="38">
        <v>7.1</v>
      </c>
      <c r="H21" s="38">
        <v>7.09</v>
      </c>
      <c r="I21" s="38">
        <v>7.08</v>
      </c>
      <c r="J21" s="38">
        <v>7.1</v>
      </c>
      <c r="K21" s="38">
        <v>7.09</v>
      </c>
      <c r="L21" s="38">
        <v>7.1</v>
      </c>
      <c r="M21" s="45">
        <f>IF(C21="","",AVERAGE(C21:L21))</f>
        <v>7.0949999999999989</v>
      </c>
      <c r="N21" s="57"/>
      <c r="O21" s="58"/>
    </row>
    <row r="22" spans="1:15" ht="15.75" thickBot="1">
      <c r="A22" s="48">
        <v>2</v>
      </c>
      <c r="B22" s="49" t="s">
        <v>21</v>
      </c>
      <c r="C22" s="50">
        <f>IF(COUNT(C19:C21)&lt;2,"",MAX(C19:C21)-MIN(C19:C21))</f>
        <v>9.9999999999997868E-3</v>
      </c>
      <c r="D22" s="50">
        <f>IF(COUNT(D19:D21)&lt;2,"",MAX(D19:D21)-MIN(D19:D21))</f>
        <v>9.9999999999997868E-3</v>
      </c>
      <c r="E22" s="50">
        <f t="shared" ref="E22:L22" si="1">IF(COUNT(E19:E21)&lt;2,"",MAX(E19:E21)-MIN(E19:E21))</f>
        <v>9.9999999999997868E-3</v>
      </c>
      <c r="F22" s="50">
        <f t="shared" si="1"/>
        <v>9.9999999999997868E-3</v>
      </c>
      <c r="G22" s="50">
        <f t="shared" si="1"/>
        <v>1.9999999999999574E-2</v>
      </c>
      <c r="H22" s="50">
        <f t="shared" si="1"/>
        <v>9.9999999999997868E-3</v>
      </c>
      <c r="I22" s="50">
        <f t="shared" si="1"/>
        <v>9.9999999999997868E-3</v>
      </c>
      <c r="J22" s="50">
        <f t="shared" si="1"/>
        <v>9.9999999999997868E-3</v>
      </c>
      <c r="K22" s="50">
        <f t="shared" si="1"/>
        <v>9.9999999999997868E-3</v>
      </c>
      <c r="L22" s="50">
        <f t="shared" si="1"/>
        <v>0</v>
      </c>
      <c r="M22" s="51" t="s">
        <v>24</v>
      </c>
      <c r="N22" s="230">
        <f>IF(COUNT(C22:L22)=0,"",AVERAGE(C22:L22))</f>
        <v>9.9999999999997868E-3</v>
      </c>
      <c r="O22" s="231"/>
    </row>
    <row r="23" spans="1:15" ht="15.75" thickTop="1">
      <c r="A23" s="232" t="s">
        <v>101</v>
      </c>
      <c r="B23" s="52">
        <v>1</v>
      </c>
      <c r="C23" s="38">
        <v>7.1</v>
      </c>
      <c r="D23" s="38">
        <v>7.08</v>
      </c>
      <c r="E23" s="38">
        <v>7.09</v>
      </c>
      <c r="F23" s="38">
        <v>7.1</v>
      </c>
      <c r="G23" s="38">
        <v>7.1</v>
      </c>
      <c r="H23" s="38">
        <v>7.09</v>
      </c>
      <c r="I23" s="38">
        <v>7.09</v>
      </c>
      <c r="J23" s="38">
        <v>7.1</v>
      </c>
      <c r="K23" s="38">
        <v>7.1</v>
      </c>
      <c r="L23" s="38">
        <v>7.1</v>
      </c>
      <c r="M23" s="53">
        <f>IF(C23="","",AVERAGE(C23:L23))</f>
        <v>7.0950000000000006</v>
      </c>
      <c r="N23" s="40" t="s">
        <v>25</v>
      </c>
      <c r="O23" s="59"/>
    </row>
    <row r="24" spans="1:15">
      <c r="A24" s="227"/>
      <c r="B24" s="42">
        <v>2</v>
      </c>
      <c r="C24" s="38">
        <v>7.09</v>
      </c>
      <c r="D24" s="38">
        <v>7.1</v>
      </c>
      <c r="E24" s="38">
        <v>7.1</v>
      </c>
      <c r="F24" s="38">
        <v>7.09</v>
      </c>
      <c r="G24" s="38">
        <v>7.1</v>
      </c>
      <c r="H24" s="38">
        <v>7.08</v>
      </c>
      <c r="I24" s="38">
        <v>7.09</v>
      </c>
      <c r="J24" s="38">
        <v>7.1</v>
      </c>
      <c r="K24" s="38">
        <v>7.1</v>
      </c>
      <c r="L24" s="38">
        <v>7.1</v>
      </c>
      <c r="M24" s="56">
        <f>IF(C24="","",AVERAGE(C24:L24))</f>
        <v>7.0949999999999989</v>
      </c>
      <c r="N24" s="228">
        <f>IF(COUNT(C23:L25)=0,"",AVERAGE(C23:L25))</f>
        <v>7.094666666666666</v>
      </c>
      <c r="O24" s="229"/>
    </row>
    <row r="25" spans="1:15">
      <c r="A25" s="227"/>
      <c r="B25" s="44">
        <v>3</v>
      </c>
      <c r="C25" s="38">
        <v>7.1</v>
      </c>
      <c r="D25" s="38">
        <v>7.1</v>
      </c>
      <c r="E25" s="38">
        <v>7.09</v>
      </c>
      <c r="F25" s="38">
        <v>7.1</v>
      </c>
      <c r="G25" s="38">
        <v>7.1</v>
      </c>
      <c r="H25" s="38">
        <v>7.09</v>
      </c>
      <c r="I25" s="38">
        <v>7.09</v>
      </c>
      <c r="J25" s="38">
        <v>7.09</v>
      </c>
      <c r="K25" s="38">
        <v>7.08</v>
      </c>
      <c r="L25" s="38">
        <v>7.1</v>
      </c>
      <c r="M25" s="45">
        <f>IF(C25="","",AVERAGE(C25:L25))</f>
        <v>7.0939999999999994</v>
      </c>
      <c r="N25" s="57"/>
      <c r="O25" s="58"/>
    </row>
    <row r="26" spans="1:15" ht="15.75" thickBot="1">
      <c r="A26" s="48">
        <v>3</v>
      </c>
      <c r="B26" s="49" t="s">
        <v>21</v>
      </c>
      <c r="C26" s="60">
        <f t="shared" ref="C26:L26" si="2">IF(COUNT(C23:C25)&lt;2,"",MAX(C23:C25)-MIN(C23:C25))</f>
        <v>9.9999999999997868E-3</v>
      </c>
      <c r="D26" s="60">
        <f t="shared" si="2"/>
        <v>1.9999999999999574E-2</v>
      </c>
      <c r="E26" s="60">
        <f t="shared" si="2"/>
        <v>9.9999999999997868E-3</v>
      </c>
      <c r="F26" s="60">
        <f t="shared" si="2"/>
        <v>9.9999999999997868E-3</v>
      </c>
      <c r="G26" s="60">
        <f t="shared" si="2"/>
        <v>0</v>
      </c>
      <c r="H26" s="60">
        <f t="shared" si="2"/>
        <v>9.9999999999997868E-3</v>
      </c>
      <c r="I26" s="60">
        <f t="shared" si="2"/>
        <v>0</v>
      </c>
      <c r="J26" s="60">
        <f t="shared" si="2"/>
        <v>9.9999999999997868E-3</v>
      </c>
      <c r="K26" s="60">
        <f t="shared" si="2"/>
        <v>1.9999999999999574E-2</v>
      </c>
      <c r="L26" s="60">
        <f t="shared" si="2"/>
        <v>0</v>
      </c>
      <c r="M26" s="61" t="s">
        <v>26</v>
      </c>
      <c r="N26" s="230">
        <f>IF(COUNT(C26:L26)=0,"",AVERAGE(C26:L26))</f>
        <v>8.9999999999998085E-3</v>
      </c>
      <c r="O26" s="231"/>
    </row>
    <row r="27" spans="1:15" ht="34.5" customHeight="1" thickTop="1" thickBot="1">
      <c r="A27" s="233" t="s">
        <v>27</v>
      </c>
      <c r="B27" s="234"/>
      <c r="C27" s="62">
        <f t="shared" ref="C27:L27" si="3">IF(COUNT(C15:C17,C19:C21,C23:C25)=0,"",AVERAGE(C15:C17,C19:C21,C23:C25))</f>
        <v>7.097777777777778</v>
      </c>
      <c r="D27" s="62">
        <f t="shared" si="3"/>
        <v>7.094444444444445</v>
      </c>
      <c r="E27" s="62">
        <f t="shared" si="3"/>
        <v>7.0955555555555554</v>
      </c>
      <c r="F27" s="62">
        <f t="shared" si="3"/>
        <v>7.0933333333333328</v>
      </c>
      <c r="G27" s="62">
        <f t="shared" si="3"/>
        <v>7.094444444444445</v>
      </c>
      <c r="H27" s="62">
        <f t="shared" si="3"/>
        <v>7.0822222222222235</v>
      </c>
      <c r="I27" s="62">
        <f t="shared" si="3"/>
        <v>7.09</v>
      </c>
      <c r="J27" s="62">
        <f t="shared" si="3"/>
        <v>7.0977777777777771</v>
      </c>
      <c r="K27" s="62">
        <f t="shared" si="3"/>
        <v>7.0855555555555547</v>
      </c>
      <c r="L27" s="62">
        <f t="shared" si="3"/>
        <v>7.0988888888888901</v>
      </c>
      <c r="M27" s="63" t="s">
        <v>28</v>
      </c>
      <c r="N27" s="235">
        <f>IF(COUNT(C27:L27)&lt;1,"",MAX(C27:L27)-MIN(C27:L27))</f>
        <v>1.6666666666666607E-2</v>
      </c>
      <c r="O27" s="236"/>
    </row>
    <row r="28" spans="1:15" ht="16.5" thickTop="1" thickBot="1">
      <c r="A28" s="64" t="s">
        <v>29</v>
      </c>
      <c r="B28" s="65"/>
      <c r="C28" s="65"/>
      <c r="D28" s="66"/>
      <c r="E28" s="66"/>
      <c r="F28" s="66"/>
      <c r="G28" s="66"/>
      <c r="H28" s="66"/>
      <c r="I28" s="66"/>
      <c r="J28" s="66"/>
      <c r="K28" s="66"/>
      <c r="L28" s="66"/>
      <c r="M28" s="67" t="s">
        <v>30</v>
      </c>
      <c r="N28" s="224">
        <f>IF(N16="","",MAX(N20,N16,N24)-MIN(N16,N20,N24))</f>
        <v>2.9999999999992255E-3</v>
      </c>
      <c r="O28" s="225"/>
    </row>
    <row r="29" spans="1:15" ht="16.5" thickTop="1" thickBot="1">
      <c r="A29" s="68" t="s">
        <v>31</v>
      </c>
      <c r="B29" s="65"/>
      <c r="C29" s="65"/>
      <c r="D29" s="65"/>
      <c r="E29" s="66"/>
      <c r="F29" s="66"/>
      <c r="G29" s="66"/>
      <c r="H29" s="66"/>
      <c r="I29" s="66"/>
      <c r="J29" s="66"/>
      <c r="K29" s="66"/>
      <c r="L29" s="69"/>
      <c r="M29" s="70" t="s">
        <v>32</v>
      </c>
      <c r="N29" s="214">
        <f>IF(N18="","",(N18+N22+N26)/3)</f>
        <v>9.3333333333331329E-3</v>
      </c>
      <c r="O29" s="215"/>
    </row>
    <row r="30" spans="1:15" ht="16.5" thickTop="1" thickBot="1">
      <c r="A30" s="71" t="s">
        <v>33</v>
      </c>
      <c r="B30" s="72"/>
      <c r="C30" s="66"/>
      <c r="D30" s="66"/>
      <c r="E30" s="66"/>
      <c r="F30" s="73" t="s">
        <v>34</v>
      </c>
      <c r="G30" s="66"/>
      <c r="H30" s="66"/>
      <c r="I30" s="66"/>
      <c r="J30" s="66"/>
      <c r="K30" s="74" t="s">
        <v>35</v>
      </c>
      <c r="L30" s="75">
        <f>IF(D32=3,N33,IF(D32=2,N32,""))</f>
        <v>2.58</v>
      </c>
      <c r="M30" s="76" t="s">
        <v>36</v>
      </c>
      <c r="N30" s="214">
        <f>IF(L30="","",N29*L30)</f>
        <v>2.4079999999999484E-2</v>
      </c>
      <c r="O30" s="215"/>
    </row>
    <row r="31" spans="1:15" ht="16.5" thickTop="1">
      <c r="A31" s="216" t="s">
        <v>15</v>
      </c>
      <c r="B31" s="217"/>
      <c r="C31" s="218"/>
      <c r="D31" s="77">
        <f>COUNT(A15:A26)</f>
        <v>3</v>
      </c>
      <c r="E31" s="219" t="s">
        <v>37</v>
      </c>
      <c r="F31" s="220"/>
      <c r="G31" s="221" t="s">
        <v>38</v>
      </c>
      <c r="H31" s="222"/>
      <c r="I31" s="183" t="s">
        <v>39</v>
      </c>
      <c r="J31" s="183"/>
      <c r="K31" s="223" t="s">
        <v>40</v>
      </c>
      <c r="L31" s="222"/>
      <c r="M31" s="78" t="s">
        <v>41</v>
      </c>
      <c r="N31" s="79" t="s">
        <v>42</v>
      </c>
      <c r="O31" s="80"/>
    </row>
    <row r="32" spans="1:15">
      <c r="A32" s="196" t="s">
        <v>43</v>
      </c>
      <c r="B32" s="197"/>
      <c r="C32" s="198"/>
      <c r="D32" s="81">
        <f>COUNT(C15:C17)</f>
        <v>3</v>
      </c>
      <c r="E32" s="199" t="s">
        <v>44</v>
      </c>
      <c r="F32" s="200"/>
      <c r="G32" s="201">
        <v>2</v>
      </c>
      <c r="H32" s="202"/>
      <c r="I32" s="203">
        <v>0.70709999999999995</v>
      </c>
      <c r="J32" s="203"/>
      <c r="K32" s="204">
        <v>2</v>
      </c>
      <c r="L32" s="202"/>
      <c r="M32" s="82">
        <v>0.88619999999999999</v>
      </c>
      <c r="N32" s="83">
        <v>3.27</v>
      </c>
      <c r="O32" s="84"/>
    </row>
    <row r="33" spans="1:15" ht="15.75" thickBot="1">
      <c r="A33" s="205" t="s">
        <v>45</v>
      </c>
      <c r="B33" s="206"/>
      <c r="C33" s="207"/>
      <c r="D33" s="85">
        <f>COUNT(C15:L15)</f>
        <v>10</v>
      </c>
      <c r="E33" s="208" t="s">
        <v>46</v>
      </c>
      <c r="F33" s="209"/>
      <c r="G33" s="210">
        <v>3</v>
      </c>
      <c r="H33" s="211"/>
      <c r="I33" s="212">
        <v>0.52310000000000001</v>
      </c>
      <c r="J33" s="212"/>
      <c r="K33" s="213">
        <v>3</v>
      </c>
      <c r="L33" s="211"/>
      <c r="M33" s="86">
        <v>0.59079999999999999</v>
      </c>
      <c r="N33" s="87">
        <v>2.58</v>
      </c>
      <c r="O33" s="88"/>
    </row>
    <row r="34" spans="1:15" ht="15.75" thickTop="1">
      <c r="A34" s="182" t="s">
        <v>47</v>
      </c>
      <c r="B34" s="183"/>
      <c r="C34" s="89">
        <v>2</v>
      </c>
      <c r="D34" s="90">
        <v>3</v>
      </c>
      <c r="E34" s="89">
        <v>4</v>
      </c>
      <c r="F34" s="90">
        <v>5</v>
      </c>
      <c r="G34" s="89">
        <v>6</v>
      </c>
      <c r="H34" s="90">
        <v>7</v>
      </c>
      <c r="I34" s="89">
        <v>8</v>
      </c>
      <c r="J34" s="89">
        <v>9</v>
      </c>
      <c r="K34" s="78">
        <v>10</v>
      </c>
      <c r="L34" s="91"/>
      <c r="M34" s="92"/>
      <c r="N34" s="92"/>
      <c r="O34" s="93"/>
    </row>
    <row r="35" spans="1:15" ht="16.5" thickBot="1">
      <c r="A35" s="184" t="s">
        <v>48</v>
      </c>
      <c r="B35" s="185"/>
      <c r="C35" s="94">
        <v>0.70709999999999995</v>
      </c>
      <c r="D35" s="95">
        <v>0.52310000000000001</v>
      </c>
      <c r="E35" s="95">
        <v>0.44669999999999999</v>
      </c>
      <c r="F35" s="95">
        <v>0.40300000000000002</v>
      </c>
      <c r="G35" s="95">
        <v>0.37419999999999998</v>
      </c>
      <c r="H35" s="95">
        <v>0.35339999999999999</v>
      </c>
      <c r="I35" s="95">
        <v>0.33750000000000002</v>
      </c>
      <c r="J35" s="95">
        <v>0.32490000000000002</v>
      </c>
      <c r="K35" s="96">
        <v>0.31459999999999999</v>
      </c>
      <c r="L35" s="97"/>
      <c r="M35" s="98"/>
      <c r="N35" s="98"/>
      <c r="O35" s="99"/>
    </row>
    <row r="36" spans="1:15" ht="35.25" customHeight="1" thickTop="1" thickBot="1">
      <c r="A36" s="186" t="s">
        <v>49</v>
      </c>
      <c r="B36" s="187"/>
      <c r="C36" s="187"/>
      <c r="D36" s="187"/>
      <c r="E36" s="187"/>
      <c r="F36" s="187"/>
      <c r="G36" s="187"/>
      <c r="H36" s="187"/>
      <c r="I36" s="187"/>
      <c r="J36" s="187"/>
      <c r="K36" s="187"/>
      <c r="L36" s="187"/>
      <c r="M36" s="187"/>
      <c r="N36" s="187"/>
      <c r="O36" s="188"/>
    </row>
    <row r="37" spans="1:15" ht="15.75" customHeight="1" thickTop="1">
      <c r="A37" s="165" t="s">
        <v>50</v>
      </c>
      <c r="B37" s="190" t="s">
        <v>51</v>
      </c>
      <c r="C37" s="191"/>
      <c r="D37" s="190" t="s">
        <v>52</v>
      </c>
      <c r="E37" s="192"/>
      <c r="F37" s="191"/>
      <c r="G37" s="190" t="s">
        <v>53</v>
      </c>
      <c r="H37" s="192"/>
      <c r="I37" s="191"/>
      <c r="J37" s="190" t="s">
        <v>54</v>
      </c>
      <c r="K37" s="192"/>
      <c r="L37" s="191"/>
      <c r="M37" s="193" t="s">
        <v>55</v>
      </c>
      <c r="N37" s="194"/>
      <c r="O37" s="195"/>
    </row>
    <row r="38" spans="1:15" ht="23.25">
      <c r="A38" s="189"/>
      <c r="B38" s="176" t="s">
        <v>56</v>
      </c>
      <c r="C38" s="178"/>
      <c r="D38" s="176" t="s">
        <v>57</v>
      </c>
      <c r="E38" s="177"/>
      <c r="F38" s="178"/>
      <c r="G38" s="176" t="s">
        <v>58</v>
      </c>
      <c r="H38" s="177"/>
      <c r="I38" s="178"/>
      <c r="J38" s="176" t="s">
        <v>59</v>
      </c>
      <c r="K38" s="177"/>
      <c r="L38" s="178"/>
      <c r="M38" s="176" t="s">
        <v>60</v>
      </c>
      <c r="N38" s="177"/>
      <c r="O38" s="179"/>
    </row>
    <row r="39" spans="1:15" ht="16.5" thickBot="1">
      <c r="A39" s="166"/>
      <c r="B39" s="100" t="s">
        <v>61</v>
      </c>
      <c r="C39" s="101">
        <f>IF(C15="","",IF(COUNT(C15:C17)&lt;3,N29*M32,N29*M33))</f>
        <v>5.5141333333332153E-3</v>
      </c>
      <c r="D39" s="102" t="s">
        <v>62</v>
      </c>
      <c r="E39" s="103">
        <f>IF(C39="","",IF(POWER(N28*SUMIF(G32:H33,D31,I32:J33),2)-POWER(C39,2)/(D33*D32)&lt;0,"0.000",SQRT(POWER(N28*SUMIF(G32:H33,D31,I32:J33),2)-POWER(C39,2)/(D33*D32))))</f>
        <v>1.2038190379259027E-3</v>
      </c>
      <c r="F39" s="104"/>
      <c r="G39" s="102" t="s">
        <v>63</v>
      </c>
      <c r="H39" s="105">
        <f>IF(E39="","",SQRT(POWER(C39,2)+POWER(E39,2)))</f>
        <v>5.6440098063211515E-3</v>
      </c>
      <c r="I39" s="104"/>
      <c r="J39" s="102" t="s">
        <v>64</v>
      </c>
      <c r="K39" s="105">
        <f>IF(H39="","",N27*SUMIF(C34:K34,D33,C35:K35))</f>
        <v>5.2433333333333143E-3</v>
      </c>
      <c r="L39" s="106"/>
      <c r="M39" s="107" t="s">
        <v>65</v>
      </c>
      <c r="N39" s="105">
        <f>IF(H39="","",SQRT(POWER(H39,2)+POWER(K39,2)))</f>
        <v>7.7037257958921124E-3</v>
      </c>
      <c r="O39" s="99"/>
    </row>
    <row r="40" spans="1:15" ht="16.5" customHeight="1" thickTop="1">
      <c r="A40" s="165" t="s">
        <v>66</v>
      </c>
      <c r="B40" s="180" t="s">
        <v>67</v>
      </c>
      <c r="C40" s="181"/>
      <c r="D40" s="176" t="s">
        <v>68</v>
      </c>
      <c r="E40" s="177"/>
      <c r="F40" s="178"/>
      <c r="G40" s="176" t="s">
        <v>69</v>
      </c>
      <c r="H40" s="177"/>
      <c r="I40" s="178"/>
      <c r="J40" s="176" t="s">
        <v>70</v>
      </c>
      <c r="K40" s="177"/>
      <c r="L40" s="178"/>
      <c r="M40" s="176" t="s">
        <v>71</v>
      </c>
      <c r="N40" s="177"/>
      <c r="O40" s="178"/>
    </row>
    <row r="41" spans="1:15" ht="16.5" thickBot="1">
      <c r="A41" s="166"/>
      <c r="B41" s="100" t="s">
        <v>72</v>
      </c>
      <c r="C41" s="108">
        <f>IF(C39="","",C39/$N$39)</f>
        <v>0.71577487042354726</v>
      </c>
      <c r="D41" s="102" t="s">
        <v>73</v>
      </c>
      <c r="E41" s="109">
        <f>IF(E39="","",E39/$N$39)</f>
        <v>0.15626452314382994</v>
      </c>
      <c r="F41" s="104"/>
      <c r="G41" s="102" t="s">
        <v>74</v>
      </c>
      <c r="H41" s="109">
        <f>IF(H39="","",H39/$N$39)</f>
        <v>0.73263378732025075</v>
      </c>
      <c r="I41" s="104"/>
      <c r="J41" s="102" t="s">
        <v>75</v>
      </c>
      <c r="K41" s="109">
        <f>IF(K39="","",K39/$N$39)</f>
        <v>0.68062304815278307</v>
      </c>
      <c r="L41" s="106"/>
      <c r="M41" s="102" t="s">
        <v>76</v>
      </c>
      <c r="N41" s="110">
        <f>1.41*(K39/H39)</f>
        <v>1.3099020472501455</v>
      </c>
      <c r="O41" s="106"/>
    </row>
    <row r="42" spans="1:15" ht="16.5" customHeight="1" thickTop="1">
      <c r="A42" s="165" t="s">
        <v>77</v>
      </c>
      <c r="B42" s="167" t="s">
        <v>78</v>
      </c>
      <c r="C42" s="168"/>
      <c r="D42" s="169" t="s">
        <v>79</v>
      </c>
      <c r="E42" s="170"/>
      <c r="F42" s="171"/>
      <c r="G42" s="169" t="s">
        <v>80</v>
      </c>
      <c r="H42" s="170"/>
      <c r="I42" s="171"/>
      <c r="J42" s="111"/>
      <c r="K42" s="112"/>
      <c r="L42" s="113"/>
      <c r="M42" s="114"/>
      <c r="N42" s="115"/>
      <c r="O42" s="116"/>
    </row>
    <row r="43" spans="1:15" ht="16.5" thickBot="1">
      <c r="A43" s="166"/>
      <c r="B43" s="100" t="s">
        <v>72</v>
      </c>
      <c r="C43" s="117">
        <f>IF(C39="","",C39/($G$11/6))</f>
        <v>6.6169599999998593E-2</v>
      </c>
      <c r="D43" s="102" t="s">
        <v>73</v>
      </c>
      <c r="E43" s="118">
        <f>IF(E39="","",E39/($G$11/6))</f>
        <v>1.4445828455110834E-2</v>
      </c>
      <c r="F43" s="104"/>
      <c r="G43" s="102" t="s">
        <v>74</v>
      </c>
      <c r="H43" s="118">
        <f>IF(H39="","",H39/($G$11/6))</f>
        <v>6.7728117675853822E-2</v>
      </c>
      <c r="I43" s="104"/>
      <c r="J43" s="102"/>
      <c r="K43" s="118"/>
      <c r="L43" s="106"/>
      <c r="M43" s="119"/>
      <c r="N43" s="98"/>
      <c r="O43" s="99"/>
    </row>
    <row r="44" spans="1:15" ht="16.5" thickTop="1" thickBot="1">
      <c r="A44" s="120" t="s">
        <v>81</v>
      </c>
      <c r="B44" s="121"/>
      <c r="C44" s="121"/>
      <c r="D44" s="121"/>
      <c r="E44" s="121"/>
      <c r="F44" s="121"/>
      <c r="G44" s="121"/>
      <c r="H44" s="121"/>
      <c r="I44" s="122" t="s">
        <v>82</v>
      </c>
      <c r="J44" s="121"/>
      <c r="K44" s="121"/>
      <c r="L44" s="121"/>
      <c r="M44" s="121"/>
      <c r="N44" s="121"/>
      <c r="O44" s="123"/>
    </row>
    <row r="45" spans="1:15" ht="15.75" customHeight="1" thickTop="1">
      <c r="A45" s="124"/>
      <c r="B45" s="125"/>
      <c r="C45" s="125"/>
      <c r="D45" s="125"/>
      <c r="E45" s="125"/>
      <c r="F45" s="125"/>
      <c r="G45" s="125"/>
      <c r="H45" s="125"/>
      <c r="I45" s="172" t="s">
        <v>83</v>
      </c>
      <c r="J45" s="173"/>
      <c r="K45" s="174" t="s">
        <v>84</v>
      </c>
      <c r="L45" s="174"/>
      <c r="M45" s="174"/>
      <c r="N45" s="174"/>
      <c r="O45" s="175"/>
    </row>
    <row r="46" spans="1:15" ht="18" customHeight="1">
      <c r="A46" s="124"/>
      <c r="B46" s="125"/>
      <c r="C46" s="125"/>
      <c r="D46" s="125"/>
      <c r="E46" s="125"/>
      <c r="F46" s="125"/>
      <c r="G46" s="125"/>
      <c r="H46" s="125"/>
      <c r="I46" s="153" t="s">
        <v>85</v>
      </c>
      <c r="J46" s="154"/>
      <c r="K46" s="155" t="s">
        <v>86</v>
      </c>
      <c r="L46" s="155"/>
      <c r="M46" s="155"/>
      <c r="N46" s="155"/>
      <c r="O46" s="156"/>
    </row>
    <row r="47" spans="1:15" ht="25.5" customHeight="1">
      <c r="A47" s="124"/>
      <c r="B47" s="125"/>
      <c r="C47" s="125"/>
      <c r="D47" s="125"/>
      <c r="E47" s="125"/>
      <c r="F47" s="125"/>
      <c r="G47" s="125"/>
      <c r="H47" s="125"/>
      <c r="I47" s="157" t="s">
        <v>87</v>
      </c>
      <c r="J47" s="158"/>
      <c r="K47" s="159" t="s">
        <v>88</v>
      </c>
      <c r="L47" s="159"/>
      <c r="M47" s="159"/>
      <c r="N47" s="159"/>
      <c r="O47" s="160"/>
    </row>
    <row r="48" spans="1:15" ht="29.25" customHeight="1" thickBot="1">
      <c r="A48" s="124"/>
      <c r="B48" s="125"/>
      <c r="C48" s="125"/>
      <c r="D48" s="125"/>
      <c r="E48" s="125"/>
      <c r="F48" s="125"/>
      <c r="G48" s="125"/>
      <c r="H48" s="125"/>
      <c r="I48" s="161" t="s">
        <v>89</v>
      </c>
      <c r="J48" s="162"/>
      <c r="K48" s="163" t="s">
        <v>90</v>
      </c>
      <c r="L48" s="163"/>
      <c r="M48" s="163"/>
      <c r="N48" s="163"/>
      <c r="O48" s="164"/>
    </row>
    <row r="49" spans="1:15" ht="15.75" thickTop="1">
      <c r="A49" s="124"/>
      <c r="B49" s="125"/>
      <c r="C49" s="125"/>
      <c r="D49" s="125"/>
      <c r="E49" s="125"/>
      <c r="F49" s="125"/>
      <c r="G49" s="125"/>
      <c r="H49" s="125"/>
      <c r="I49" s="142" t="s">
        <v>91</v>
      </c>
      <c r="J49" s="143"/>
      <c r="K49" s="143"/>
      <c r="L49" s="143"/>
      <c r="M49" s="143"/>
      <c r="N49" s="143"/>
      <c r="O49" s="144"/>
    </row>
    <row r="50" spans="1:15">
      <c r="A50" s="124"/>
      <c r="B50" s="125"/>
      <c r="C50" s="125"/>
      <c r="D50" s="125"/>
      <c r="E50" s="125"/>
      <c r="F50" s="125"/>
      <c r="G50" s="145"/>
      <c r="H50" s="146"/>
      <c r="I50" s="147" t="s">
        <v>92</v>
      </c>
      <c r="J50" s="148"/>
      <c r="K50" s="148"/>
      <c r="L50" s="148"/>
      <c r="M50" s="148"/>
      <c r="N50" s="148"/>
      <c r="O50" s="149"/>
    </row>
    <row r="51" spans="1:15" ht="15" customHeight="1">
      <c r="A51" s="124"/>
      <c r="B51" s="125"/>
      <c r="C51" s="125"/>
      <c r="D51" s="125"/>
      <c r="E51" s="125"/>
      <c r="F51" s="125"/>
      <c r="G51" s="126"/>
      <c r="H51" s="127"/>
      <c r="I51" s="150" t="s">
        <v>93</v>
      </c>
      <c r="J51" s="151"/>
      <c r="K51" s="151"/>
      <c r="L51" s="151"/>
      <c r="M51" s="151"/>
      <c r="N51" s="151"/>
      <c r="O51" s="152"/>
    </row>
    <row r="52" spans="1:15">
      <c r="A52" s="124"/>
      <c r="B52" s="125"/>
      <c r="C52" s="125"/>
      <c r="D52" s="125"/>
      <c r="E52" s="125"/>
      <c r="F52" s="125"/>
      <c r="G52" s="126"/>
      <c r="H52" s="127"/>
      <c r="I52" s="136" t="s">
        <v>94</v>
      </c>
      <c r="J52" s="137"/>
      <c r="K52" s="137"/>
      <c r="L52" s="137"/>
      <c r="M52" s="137"/>
      <c r="N52" s="137"/>
      <c r="O52" s="138"/>
    </row>
    <row r="53" spans="1:15">
      <c r="A53" s="124"/>
      <c r="B53" s="125"/>
      <c r="C53" s="125"/>
      <c r="D53" s="125"/>
      <c r="E53" s="125"/>
      <c r="F53" s="125"/>
      <c r="G53" s="126"/>
      <c r="H53" s="127"/>
      <c r="I53" s="147" t="s">
        <v>95</v>
      </c>
      <c r="J53" s="148"/>
      <c r="K53" s="148"/>
      <c r="L53" s="148"/>
      <c r="M53" s="148"/>
      <c r="N53" s="148"/>
      <c r="O53" s="149"/>
    </row>
    <row r="54" spans="1:15">
      <c r="A54" s="124"/>
      <c r="B54" s="125"/>
      <c r="C54" s="125"/>
      <c r="D54" s="125"/>
      <c r="E54" s="125"/>
      <c r="F54" s="125"/>
      <c r="G54" s="126"/>
      <c r="H54" s="127"/>
      <c r="I54" s="136" t="s">
        <v>96</v>
      </c>
      <c r="J54" s="137"/>
      <c r="K54" s="137"/>
      <c r="L54" s="137"/>
      <c r="M54" s="137"/>
      <c r="N54" s="137"/>
      <c r="O54" s="138"/>
    </row>
    <row r="55" spans="1:15" ht="15.75" thickBot="1">
      <c r="A55" s="128"/>
      <c r="B55" s="129"/>
      <c r="C55" s="129"/>
      <c r="D55" s="129"/>
      <c r="E55" s="129"/>
      <c r="F55" s="129"/>
      <c r="G55" s="130"/>
      <c r="H55" s="131"/>
      <c r="I55" s="139" t="s">
        <v>97</v>
      </c>
      <c r="J55" s="140"/>
      <c r="K55" s="140"/>
      <c r="L55" s="140"/>
      <c r="M55" s="140"/>
      <c r="N55" s="140"/>
      <c r="O55" s="141"/>
    </row>
    <row r="56" spans="1:15" ht="15.75" thickTop="1">
      <c r="A56" t="s">
        <v>107</v>
      </c>
    </row>
  </sheetData>
  <mergeCells count="87">
    <mergeCell ref="A1:O1"/>
    <mergeCell ref="A2:N2"/>
    <mergeCell ref="A3:C3"/>
    <mergeCell ref="J3:O3"/>
    <mergeCell ref="D4:I4"/>
    <mergeCell ref="J4:K4"/>
    <mergeCell ref="L4:M4"/>
    <mergeCell ref="N4:O4"/>
    <mergeCell ref="A13:A14"/>
    <mergeCell ref="B13:B14"/>
    <mergeCell ref="C13:L13"/>
    <mergeCell ref="M13:M14"/>
    <mergeCell ref="N13:O14"/>
    <mergeCell ref="D9:I9"/>
    <mergeCell ref="E11:F11"/>
    <mergeCell ref="J11:K11"/>
    <mergeCell ref="L11:M11"/>
    <mergeCell ref="N11:O11"/>
    <mergeCell ref="N28:O28"/>
    <mergeCell ref="A15:A17"/>
    <mergeCell ref="N16:O16"/>
    <mergeCell ref="N18:O18"/>
    <mergeCell ref="A19:A21"/>
    <mergeCell ref="N20:O20"/>
    <mergeCell ref="N22:O22"/>
    <mergeCell ref="A23:A25"/>
    <mergeCell ref="N24:O24"/>
    <mergeCell ref="N26:O26"/>
    <mergeCell ref="A27:B27"/>
    <mergeCell ref="N27:O27"/>
    <mergeCell ref="N29:O29"/>
    <mergeCell ref="N30:O30"/>
    <mergeCell ref="A31:C31"/>
    <mergeCell ref="E31:F31"/>
    <mergeCell ref="G31:H31"/>
    <mergeCell ref="I31:J31"/>
    <mergeCell ref="K31:L31"/>
    <mergeCell ref="A33:C33"/>
    <mergeCell ref="E33:F33"/>
    <mergeCell ref="G33:H33"/>
    <mergeCell ref="I33:J33"/>
    <mergeCell ref="K33:L33"/>
    <mergeCell ref="A32:C32"/>
    <mergeCell ref="E32:F32"/>
    <mergeCell ref="G32:H32"/>
    <mergeCell ref="I32:J32"/>
    <mergeCell ref="K32:L32"/>
    <mergeCell ref="A34:B34"/>
    <mergeCell ref="A35:B35"/>
    <mergeCell ref="A36:O36"/>
    <mergeCell ref="A37:A39"/>
    <mergeCell ref="B37:C37"/>
    <mergeCell ref="D37:F37"/>
    <mergeCell ref="G37:I37"/>
    <mergeCell ref="J37:L37"/>
    <mergeCell ref="M37:O37"/>
    <mergeCell ref="B38:C38"/>
    <mergeCell ref="A40:A41"/>
    <mergeCell ref="B40:C40"/>
    <mergeCell ref="D40:F40"/>
    <mergeCell ref="G40:I40"/>
    <mergeCell ref="J40:L40"/>
    <mergeCell ref="K45:O45"/>
    <mergeCell ref="D38:F38"/>
    <mergeCell ref="G38:I38"/>
    <mergeCell ref="J38:L38"/>
    <mergeCell ref="M38:O38"/>
    <mergeCell ref="M40:O40"/>
    <mergeCell ref="A42:A43"/>
    <mergeCell ref="B42:C42"/>
    <mergeCell ref="D42:F42"/>
    <mergeCell ref="G42:I42"/>
    <mergeCell ref="I45:J45"/>
    <mergeCell ref="I46:J46"/>
    <mergeCell ref="K46:O46"/>
    <mergeCell ref="I47:J47"/>
    <mergeCell ref="K47:O47"/>
    <mergeCell ref="I48:J48"/>
    <mergeCell ref="K48:O48"/>
    <mergeCell ref="I54:O54"/>
    <mergeCell ref="I55:O55"/>
    <mergeCell ref="I49:O49"/>
    <mergeCell ref="G50:H50"/>
    <mergeCell ref="I50:O50"/>
    <mergeCell ref="I51:O51"/>
    <mergeCell ref="I52:O52"/>
    <mergeCell ref="I53:O53"/>
  </mergeCells>
  <pageMargins left="0" right="0" top="0" bottom="0" header="0" footer="0"/>
  <pageSetup scale="77"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6C132-537D-4E38-86A7-12EB360CEC3C}">
  <sheetPr>
    <pageSetUpPr fitToPage="1"/>
  </sheetPr>
  <dimension ref="A1:O56"/>
  <sheetViews>
    <sheetView topLeftCell="A19" workbookViewId="0">
      <selection activeCell="B68" sqref="B68"/>
    </sheetView>
  </sheetViews>
  <sheetFormatPr defaultRowHeight="15"/>
  <sheetData>
    <row r="1" spans="1:15" ht="18.75">
      <c r="A1" s="254" t="s">
        <v>0</v>
      </c>
      <c r="B1" s="254"/>
      <c r="C1" s="254"/>
      <c r="D1" s="254"/>
      <c r="E1" s="254"/>
      <c r="F1" s="254"/>
      <c r="G1" s="254"/>
      <c r="H1" s="254"/>
      <c r="I1" s="254"/>
      <c r="J1" s="254"/>
      <c r="K1" s="254"/>
      <c r="L1" s="254"/>
      <c r="M1" s="254"/>
      <c r="N1" s="254"/>
      <c r="O1" s="254"/>
    </row>
    <row r="2" spans="1:15" ht="16.5" thickBot="1">
      <c r="A2" s="255" t="s">
        <v>1</v>
      </c>
      <c r="B2" s="255"/>
      <c r="C2" s="255"/>
      <c r="D2" s="255"/>
      <c r="E2" s="255"/>
      <c r="F2" s="255"/>
      <c r="G2" s="255"/>
      <c r="H2" s="255"/>
      <c r="I2" s="255"/>
      <c r="J2" s="255"/>
      <c r="K2" s="255"/>
      <c r="L2" s="255"/>
      <c r="M2" s="255"/>
      <c r="N2" s="255"/>
      <c r="O2" s="1"/>
    </row>
    <row r="3" spans="1:15" ht="16.5" thickBot="1">
      <c r="A3" s="256"/>
      <c r="B3" s="256"/>
      <c r="C3" s="256"/>
      <c r="D3" s="1"/>
      <c r="E3" s="1"/>
      <c r="F3" s="1"/>
      <c r="G3" s="1"/>
      <c r="H3" s="2"/>
      <c r="I3" s="2"/>
      <c r="J3" s="257" t="s">
        <v>2</v>
      </c>
      <c r="K3" s="258"/>
      <c r="L3" s="258"/>
      <c r="M3" s="258"/>
      <c r="N3" s="258"/>
      <c r="O3" s="259"/>
    </row>
    <row r="4" spans="1:15" ht="16.5" thickBot="1">
      <c r="A4" s="3" t="s">
        <v>3</v>
      </c>
      <c r="B4" s="4"/>
      <c r="C4" s="5"/>
      <c r="D4" s="260">
        <v>45279</v>
      </c>
      <c r="E4" s="261"/>
      <c r="F4" s="261"/>
      <c r="G4" s="261"/>
      <c r="H4" s="261"/>
      <c r="I4" s="262"/>
      <c r="J4" s="241" t="s">
        <v>4</v>
      </c>
      <c r="K4" s="242"/>
      <c r="L4" s="241" t="s">
        <v>5</v>
      </c>
      <c r="M4" s="242"/>
      <c r="N4" s="241" t="s">
        <v>6</v>
      </c>
      <c r="O4" s="242"/>
    </row>
    <row r="5" spans="1:15" ht="15.75">
      <c r="A5" s="6" t="s">
        <v>102</v>
      </c>
      <c r="B5" s="7"/>
      <c r="C5" s="8"/>
      <c r="D5" s="132" t="s">
        <v>103</v>
      </c>
      <c r="E5" s="132"/>
      <c r="F5" s="132"/>
      <c r="G5" s="132"/>
      <c r="H5" s="132"/>
      <c r="I5" s="132"/>
      <c r="J5" s="133"/>
      <c r="K5" s="134"/>
      <c r="L5" s="135"/>
      <c r="M5" s="134"/>
      <c r="N5" s="135"/>
      <c r="O5" s="134"/>
    </row>
    <row r="6" spans="1:15" ht="15.75">
      <c r="A6" s="6" t="s">
        <v>7</v>
      </c>
      <c r="B6" s="7"/>
      <c r="C6" s="8"/>
      <c r="D6" s="9" t="s">
        <v>104</v>
      </c>
      <c r="E6" s="9"/>
      <c r="F6" s="10"/>
      <c r="G6" s="10"/>
      <c r="H6" s="11"/>
      <c r="I6" s="12"/>
      <c r="J6" s="13"/>
      <c r="K6" s="14"/>
      <c r="L6" s="1"/>
      <c r="M6" s="14"/>
      <c r="N6" s="1"/>
      <c r="O6" s="14"/>
    </row>
    <row r="7" spans="1:15" ht="15.75">
      <c r="A7" s="6" t="s">
        <v>8</v>
      </c>
      <c r="B7" s="7"/>
      <c r="C7" s="8"/>
      <c r="D7" s="9" t="s">
        <v>106</v>
      </c>
      <c r="E7" s="9"/>
      <c r="F7" s="9"/>
      <c r="G7" s="9"/>
      <c r="H7" s="9"/>
      <c r="I7" s="15"/>
      <c r="J7" s="13"/>
      <c r="K7" s="14"/>
      <c r="L7" s="1"/>
      <c r="M7" s="14"/>
      <c r="N7" s="1"/>
      <c r="O7" s="14"/>
    </row>
    <row r="8" spans="1:15" ht="15.75">
      <c r="A8" s="6" t="s">
        <v>9</v>
      </c>
      <c r="B8" s="7"/>
      <c r="C8" s="8"/>
      <c r="D8" s="16" t="s">
        <v>105</v>
      </c>
      <c r="E8" s="17"/>
      <c r="F8" s="16"/>
      <c r="G8" s="16"/>
      <c r="H8" s="16"/>
      <c r="I8" s="18"/>
      <c r="J8" s="13"/>
      <c r="K8" s="14"/>
      <c r="L8" s="1"/>
      <c r="M8" s="14"/>
      <c r="N8" s="1"/>
      <c r="O8" s="14"/>
    </row>
    <row r="9" spans="1:15" ht="15.75">
      <c r="A9" s="6" t="s">
        <v>10</v>
      </c>
      <c r="B9" s="19"/>
      <c r="C9" s="20"/>
      <c r="D9" s="237" t="s">
        <v>98</v>
      </c>
      <c r="E9" s="238"/>
      <c r="F9" s="238"/>
      <c r="G9" s="238"/>
      <c r="H9" s="238"/>
      <c r="I9" s="239"/>
      <c r="J9" s="13"/>
      <c r="K9" s="14"/>
      <c r="L9" s="1"/>
      <c r="M9" s="14"/>
      <c r="N9" s="1"/>
      <c r="O9" s="14"/>
    </row>
    <row r="10" spans="1:15" ht="16.5" thickBot="1">
      <c r="A10" s="21"/>
      <c r="B10" s="22"/>
      <c r="C10" s="23"/>
      <c r="D10" s="24"/>
      <c r="E10" s="25"/>
      <c r="F10" s="25"/>
      <c r="G10" s="26"/>
      <c r="H10" s="26"/>
      <c r="I10" s="27"/>
      <c r="J10" s="28"/>
      <c r="K10" s="29"/>
      <c r="L10" s="2"/>
      <c r="M10" s="29"/>
      <c r="N10" s="2"/>
      <c r="O10" s="29"/>
    </row>
    <row r="11" spans="1:15" ht="16.5" thickBot="1">
      <c r="A11" s="30" t="s">
        <v>11</v>
      </c>
      <c r="B11" s="31">
        <v>6.5</v>
      </c>
      <c r="C11" s="32" t="s">
        <v>12</v>
      </c>
      <c r="D11" s="31">
        <v>7.5</v>
      </c>
      <c r="E11" s="240" t="s">
        <v>13</v>
      </c>
      <c r="F11" s="240"/>
      <c r="G11" s="33">
        <f>(D11-B11)/2</f>
        <v>0.5</v>
      </c>
      <c r="H11" s="34" t="s">
        <v>14</v>
      </c>
      <c r="I11" s="35"/>
      <c r="J11" s="241"/>
      <c r="K11" s="242"/>
      <c r="L11" s="241"/>
      <c r="M11" s="242"/>
      <c r="N11" s="241"/>
      <c r="O11" s="242"/>
    </row>
    <row r="12" spans="1:15" ht="16.5" thickBot="1">
      <c r="A12" s="1"/>
      <c r="B12" s="1"/>
      <c r="C12" s="1"/>
      <c r="D12" s="1"/>
      <c r="E12" s="1"/>
      <c r="F12" s="1"/>
      <c r="G12" s="1"/>
      <c r="H12" s="1"/>
      <c r="I12" s="1"/>
      <c r="J12" s="1"/>
      <c r="K12" s="1"/>
      <c r="L12" s="1"/>
      <c r="M12" s="1"/>
      <c r="N12" s="1"/>
      <c r="O12" s="1"/>
    </row>
    <row r="13" spans="1:15" ht="15.75" customHeight="1" thickTop="1">
      <c r="A13" s="243" t="s">
        <v>15</v>
      </c>
      <c r="B13" s="245" t="s">
        <v>16</v>
      </c>
      <c r="C13" s="247" t="s">
        <v>17</v>
      </c>
      <c r="D13" s="248"/>
      <c r="E13" s="248"/>
      <c r="F13" s="248"/>
      <c r="G13" s="248"/>
      <c r="H13" s="248"/>
      <c r="I13" s="248"/>
      <c r="J13" s="248"/>
      <c r="K13" s="248"/>
      <c r="L13" s="249"/>
      <c r="M13" s="250" t="s">
        <v>18</v>
      </c>
      <c r="N13" s="250" t="s">
        <v>19</v>
      </c>
      <c r="O13" s="252"/>
    </row>
    <row r="14" spans="1:15">
      <c r="A14" s="244"/>
      <c r="B14" s="246"/>
      <c r="C14" s="36">
        <v>1</v>
      </c>
      <c r="D14" s="36">
        <v>2</v>
      </c>
      <c r="E14" s="36">
        <v>3</v>
      </c>
      <c r="F14" s="36">
        <v>4</v>
      </c>
      <c r="G14" s="36">
        <v>5</v>
      </c>
      <c r="H14" s="36">
        <v>6</v>
      </c>
      <c r="I14" s="36">
        <v>7</v>
      </c>
      <c r="J14" s="36">
        <v>8</v>
      </c>
      <c r="K14" s="36">
        <v>9</v>
      </c>
      <c r="L14" s="36">
        <v>10</v>
      </c>
      <c r="M14" s="251"/>
      <c r="N14" s="251"/>
      <c r="O14" s="253"/>
    </row>
    <row r="15" spans="1:15">
      <c r="A15" s="226" t="s">
        <v>99</v>
      </c>
      <c r="B15" s="37">
        <v>1</v>
      </c>
      <c r="C15" s="38">
        <v>7.1</v>
      </c>
      <c r="D15" s="38">
        <v>7.1</v>
      </c>
      <c r="E15" s="38">
        <v>7.1</v>
      </c>
      <c r="F15" s="38">
        <v>7.1</v>
      </c>
      <c r="G15" s="38">
        <v>7.08</v>
      </c>
      <c r="H15" s="38">
        <v>7.07</v>
      </c>
      <c r="I15" s="38">
        <v>7.1</v>
      </c>
      <c r="J15" s="38">
        <v>7.1</v>
      </c>
      <c r="K15" s="38">
        <v>7.08</v>
      </c>
      <c r="L15" s="38">
        <v>7.1</v>
      </c>
      <c r="M15" s="39">
        <f>IF(C15="","",AVERAGE(C15:L15))</f>
        <v>7.0929999999999991</v>
      </c>
      <c r="N15" s="40" t="s">
        <v>20</v>
      </c>
      <c r="O15" s="41"/>
    </row>
    <row r="16" spans="1:15">
      <c r="A16" s="227"/>
      <c r="B16" s="42">
        <v>2</v>
      </c>
      <c r="C16" s="38">
        <v>7.1</v>
      </c>
      <c r="D16" s="38">
        <v>7.1</v>
      </c>
      <c r="E16" s="38">
        <v>7.1</v>
      </c>
      <c r="F16" s="38">
        <v>7.1</v>
      </c>
      <c r="G16" s="38">
        <v>7.09</v>
      </c>
      <c r="H16" s="38">
        <v>7.08</v>
      </c>
      <c r="I16" s="38">
        <v>7.1</v>
      </c>
      <c r="J16" s="38">
        <v>7.1</v>
      </c>
      <c r="K16" s="38">
        <v>7.08</v>
      </c>
      <c r="L16" s="38">
        <v>7.1</v>
      </c>
      <c r="M16" s="43">
        <f>IF(C16="","",AVERAGE(C16:L16))</f>
        <v>7.0949999999999989</v>
      </c>
      <c r="N16" s="228">
        <f>IF(COUNT(C15:L17)=0,"",AVERAGE(C15:L17))</f>
        <v>7.0923333333333334</v>
      </c>
      <c r="O16" s="229"/>
    </row>
    <row r="17" spans="1:15">
      <c r="A17" s="227"/>
      <c r="B17" s="44">
        <v>3</v>
      </c>
      <c r="C17" s="38">
        <v>7.1</v>
      </c>
      <c r="D17" s="38">
        <v>7.09</v>
      </c>
      <c r="E17" s="38">
        <v>7.1</v>
      </c>
      <c r="F17" s="38">
        <v>7.09</v>
      </c>
      <c r="G17" s="38">
        <v>7.08</v>
      </c>
      <c r="H17" s="38">
        <v>7.08</v>
      </c>
      <c r="I17" s="38">
        <v>7.08</v>
      </c>
      <c r="J17" s="38">
        <v>7.1</v>
      </c>
      <c r="K17" s="38">
        <v>7.08</v>
      </c>
      <c r="L17" s="38">
        <v>7.09</v>
      </c>
      <c r="M17" s="45">
        <f>IF(C17="","",AVERAGE(C17:L17))</f>
        <v>7.0890000000000004</v>
      </c>
      <c r="N17" s="46"/>
      <c r="O17" s="47"/>
    </row>
    <row r="18" spans="1:15" ht="15.75" thickBot="1">
      <c r="A18" s="48">
        <v>1</v>
      </c>
      <c r="B18" s="49" t="s">
        <v>21</v>
      </c>
      <c r="C18" s="50">
        <f>IF(COUNT(C15:C17)&lt;2,"",MAX(C15:C17)-MIN(C15:C17))</f>
        <v>0</v>
      </c>
      <c r="D18" s="50">
        <f t="shared" ref="D18:K18" si="0">IF(COUNT(D15:D17)&lt;2,"",MAX(D15:D17)-MIN(D15:D17))</f>
        <v>9.9999999999997868E-3</v>
      </c>
      <c r="E18" s="50">
        <f t="shared" si="0"/>
        <v>0</v>
      </c>
      <c r="F18" s="50">
        <f t="shared" si="0"/>
        <v>9.9999999999997868E-3</v>
      </c>
      <c r="G18" s="50">
        <f>IF(COUNT(G15:G17)&lt;2,"",MAX(G15:G17)-MIN(G15:G17))</f>
        <v>9.9999999999997868E-3</v>
      </c>
      <c r="H18" s="50">
        <f t="shared" si="0"/>
        <v>9.9999999999997868E-3</v>
      </c>
      <c r="I18" s="50">
        <f t="shared" si="0"/>
        <v>1.9999999999999574E-2</v>
      </c>
      <c r="J18" s="50">
        <f t="shared" si="0"/>
        <v>0</v>
      </c>
      <c r="K18" s="50">
        <f t="shared" si="0"/>
        <v>0</v>
      </c>
      <c r="L18" s="50">
        <f>IF(COUNT(L15:L17)&lt;2,"",MAX(L15:L17)-MIN(L15:L17))</f>
        <v>9.9999999999997868E-3</v>
      </c>
      <c r="M18" s="51" t="s">
        <v>22</v>
      </c>
      <c r="N18" s="230">
        <f>IF(COUNT(C18:L18)=0,"",AVERAGE(C18:L18))</f>
        <v>6.999999999999851E-3</v>
      </c>
      <c r="O18" s="231"/>
    </row>
    <row r="19" spans="1:15" ht="15.75" customHeight="1" thickTop="1">
      <c r="A19" s="232" t="s">
        <v>100</v>
      </c>
      <c r="B19" s="52">
        <v>1</v>
      </c>
      <c r="C19" s="38">
        <v>7.1</v>
      </c>
      <c r="D19" s="38">
        <v>7.09</v>
      </c>
      <c r="E19" s="38">
        <v>7.09</v>
      </c>
      <c r="F19" s="38">
        <v>7.08</v>
      </c>
      <c r="G19" s="38">
        <v>7.1</v>
      </c>
      <c r="H19" s="38">
        <v>7.08</v>
      </c>
      <c r="I19" s="38">
        <v>7.09</v>
      </c>
      <c r="J19" s="38">
        <v>7.1</v>
      </c>
      <c r="K19" s="38">
        <v>7.08</v>
      </c>
      <c r="L19" s="38">
        <v>7.1</v>
      </c>
      <c r="M19" s="53">
        <f>IF(C19="","",AVERAGE(C19:L19))</f>
        <v>7.0909999999999993</v>
      </c>
      <c r="N19" s="54" t="s">
        <v>23</v>
      </c>
      <c r="O19" s="55"/>
    </row>
    <row r="20" spans="1:15">
      <c r="A20" s="227"/>
      <c r="B20" s="42">
        <v>2</v>
      </c>
      <c r="C20" s="38">
        <v>7.09</v>
      </c>
      <c r="D20" s="38">
        <v>7.1</v>
      </c>
      <c r="E20" s="38">
        <v>7.09</v>
      </c>
      <c r="F20" s="38">
        <v>7.09</v>
      </c>
      <c r="G20" s="38">
        <v>7.08</v>
      </c>
      <c r="H20" s="38">
        <v>7.08</v>
      </c>
      <c r="I20" s="38">
        <v>7.09</v>
      </c>
      <c r="J20" s="38">
        <v>7.09</v>
      </c>
      <c r="K20" s="38">
        <v>7.08</v>
      </c>
      <c r="L20" s="38">
        <v>7.1</v>
      </c>
      <c r="M20" s="56">
        <f>IF(C20="","",AVERAGE(C20:L20))</f>
        <v>7.0890000000000004</v>
      </c>
      <c r="N20" s="228">
        <f>IF(COUNT(C19:L21)=0,"",AVERAGE(C19:L21))</f>
        <v>7.0916666666666668</v>
      </c>
      <c r="O20" s="229"/>
    </row>
    <row r="21" spans="1:15">
      <c r="A21" s="227"/>
      <c r="B21" s="44">
        <v>3</v>
      </c>
      <c r="C21" s="38">
        <v>7.1</v>
      </c>
      <c r="D21" s="38">
        <v>7.1</v>
      </c>
      <c r="E21" s="38">
        <v>7.1</v>
      </c>
      <c r="F21" s="38">
        <v>7.09</v>
      </c>
      <c r="G21" s="38">
        <v>7.1</v>
      </c>
      <c r="H21" s="38">
        <v>7.09</v>
      </c>
      <c r="I21" s="38">
        <v>7.08</v>
      </c>
      <c r="J21" s="38">
        <v>7.1</v>
      </c>
      <c r="K21" s="38">
        <v>7.09</v>
      </c>
      <c r="L21" s="38">
        <v>7.1</v>
      </c>
      <c r="M21" s="45">
        <f>IF(C21="","",AVERAGE(C21:L21))</f>
        <v>7.0949999999999989</v>
      </c>
      <c r="N21" s="57"/>
      <c r="O21" s="58"/>
    </row>
    <row r="22" spans="1:15" ht="15.75" thickBot="1">
      <c r="A22" s="48">
        <v>2</v>
      </c>
      <c r="B22" s="49" t="s">
        <v>21</v>
      </c>
      <c r="C22" s="50">
        <f>IF(COUNT(C19:C21)&lt;2,"",MAX(C19:C21)-MIN(C19:C21))</f>
        <v>9.9999999999997868E-3</v>
      </c>
      <c r="D22" s="50">
        <f>IF(COUNT(D19:D21)&lt;2,"",MAX(D19:D21)-MIN(D19:D21))</f>
        <v>9.9999999999997868E-3</v>
      </c>
      <c r="E22" s="50">
        <f t="shared" ref="E22:L22" si="1">IF(COUNT(E19:E21)&lt;2,"",MAX(E19:E21)-MIN(E19:E21))</f>
        <v>9.9999999999997868E-3</v>
      </c>
      <c r="F22" s="50">
        <f t="shared" si="1"/>
        <v>9.9999999999997868E-3</v>
      </c>
      <c r="G22" s="50">
        <f t="shared" si="1"/>
        <v>1.9999999999999574E-2</v>
      </c>
      <c r="H22" s="50">
        <f t="shared" si="1"/>
        <v>9.9999999999997868E-3</v>
      </c>
      <c r="I22" s="50">
        <f t="shared" si="1"/>
        <v>9.9999999999997868E-3</v>
      </c>
      <c r="J22" s="50">
        <f t="shared" si="1"/>
        <v>9.9999999999997868E-3</v>
      </c>
      <c r="K22" s="50">
        <f t="shared" si="1"/>
        <v>9.9999999999997868E-3</v>
      </c>
      <c r="L22" s="50">
        <f t="shared" si="1"/>
        <v>0</v>
      </c>
      <c r="M22" s="51" t="s">
        <v>24</v>
      </c>
      <c r="N22" s="230">
        <f>IF(COUNT(C22:L22)=0,"",AVERAGE(C22:L22))</f>
        <v>9.9999999999997868E-3</v>
      </c>
      <c r="O22" s="231"/>
    </row>
    <row r="23" spans="1:15" ht="15.75" thickTop="1">
      <c r="A23" s="232" t="s">
        <v>101</v>
      </c>
      <c r="B23" s="52">
        <v>1</v>
      </c>
      <c r="C23" s="38">
        <v>7.1</v>
      </c>
      <c r="D23" s="38">
        <v>7.08</v>
      </c>
      <c r="E23" s="38">
        <v>7.09</v>
      </c>
      <c r="F23" s="38">
        <v>7.1</v>
      </c>
      <c r="G23" s="38">
        <v>7.1</v>
      </c>
      <c r="H23" s="38">
        <v>7.09</v>
      </c>
      <c r="I23" s="38">
        <v>7.09</v>
      </c>
      <c r="J23" s="38">
        <v>7.1</v>
      </c>
      <c r="K23" s="38">
        <v>7.1</v>
      </c>
      <c r="L23" s="38">
        <v>7.1</v>
      </c>
      <c r="M23" s="53">
        <f>IF(C23="","",AVERAGE(C23:L23))</f>
        <v>7.0950000000000006</v>
      </c>
      <c r="N23" s="40" t="s">
        <v>25</v>
      </c>
      <c r="O23" s="59"/>
    </row>
    <row r="24" spans="1:15">
      <c r="A24" s="227"/>
      <c r="B24" s="42">
        <v>2</v>
      </c>
      <c r="C24" s="38">
        <v>7.09</v>
      </c>
      <c r="D24" s="38">
        <v>7.1</v>
      </c>
      <c r="E24" s="38">
        <v>7.1</v>
      </c>
      <c r="F24" s="38">
        <v>7.09</v>
      </c>
      <c r="G24" s="38">
        <v>7.1</v>
      </c>
      <c r="H24" s="38">
        <v>7.08</v>
      </c>
      <c r="I24" s="38">
        <v>7.09</v>
      </c>
      <c r="J24" s="38">
        <v>7.1</v>
      </c>
      <c r="K24" s="38">
        <v>7.1</v>
      </c>
      <c r="L24" s="38">
        <v>7.1</v>
      </c>
      <c r="M24" s="56">
        <f>IF(C24="","",AVERAGE(C24:L24))</f>
        <v>7.0949999999999989</v>
      </c>
      <c r="N24" s="228">
        <f>IF(COUNT(C23:L25)=0,"",AVERAGE(C23:L25))</f>
        <v>7.094666666666666</v>
      </c>
      <c r="O24" s="229"/>
    </row>
    <row r="25" spans="1:15">
      <c r="A25" s="227"/>
      <c r="B25" s="44">
        <v>3</v>
      </c>
      <c r="C25" s="38">
        <v>7.1</v>
      </c>
      <c r="D25" s="38">
        <v>7.1</v>
      </c>
      <c r="E25" s="38">
        <v>7.09</v>
      </c>
      <c r="F25" s="38">
        <v>7.1</v>
      </c>
      <c r="G25" s="38">
        <v>7.1</v>
      </c>
      <c r="H25" s="38">
        <v>7.09</v>
      </c>
      <c r="I25" s="38">
        <v>7.09</v>
      </c>
      <c r="J25" s="38">
        <v>7.09</v>
      </c>
      <c r="K25" s="38">
        <v>7.08</v>
      </c>
      <c r="L25" s="38">
        <v>7.1</v>
      </c>
      <c r="M25" s="45">
        <f>IF(C25="","",AVERAGE(C25:L25))</f>
        <v>7.0939999999999994</v>
      </c>
      <c r="N25" s="57"/>
      <c r="O25" s="58"/>
    </row>
    <row r="26" spans="1:15" ht="15.75" thickBot="1">
      <c r="A26" s="48">
        <v>3</v>
      </c>
      <c r="B26" s="49" t="s">
        <v>21</v>
      </c>
      <c r="C26" s="60">
        <f t="shared" ref="C26:L26" si="2">IF(COUNT(C23:C25)&lt;2,"",MAX(C23:C25)-MIN(C23:C25))</f>
        <v>9.9999999999997868E-3</v>
      </c>
      <c r="D26" s="60">
        <f t="shared" si="2"/>
        <v>1.9999999999999574E-2</v>
      </c>
      <c r="E26" s="60">
        <f t="shared" si="2"/>
        <v>9.9999999999997868E-3</v>
      </c>
      <c r="F26" s="60">
        <f t="shared" si="2"/>
        <v>9.9999999999997868E-3</v>
      </c>
      <c r="G26" s="60">
        <f t="shared" si="2"/>
        <v>0</v>
      </c>
      <c r="H26" s="60">
        <f t="shared" si="2"/>
        <v>9.9999999999997868E-3</v>
      </c>
      <c r="I26" s="60">
        <f t="shared" si="2"/>
        <v>0</v>
      </c>
      <c r="J26" s="60">
        <f t="shared" si="2"/>
        <v>9.9999999999997868E-3</v>
      </c>
      <c r="K26" s="60">
        <f t="shared" si="2"/>
        <v>1.9999999999999574E-2</v>
      </c>
      <c r="L26" s="60">
        <f t="shared" si="2"/>
        <v>0</v>
      </c>
      <c r="M26" s="61" t="s">
        <v>26</v>
      </c>
      <c r="N26" s="230">
        <f>IF(COUNT(C26:L26)=0,"",AVERAGE(C26:L26))</f>
        <v>8.9999999999998085E-3</v>
      </c>
      <c r="O26" s="231"/>
    </row>
    <row r="27" spans="1:15" ht="34.5" customHeight="1" thickTop="1" thickBot="1">
      <c r="A27" s="233" t="s">
        <v>27</v>
      </c>
      <c r="B27" s="234"/>
      <c r="C27" s="62">
        <f t="shared" ref="C27:L27" si="3">IF(COUNT(C15:C17,C19:C21,C23:C25)=0,"",AVERAGE(C15:C17,C19:C21,C23:C25))</f>
        <v>7.097777777777778</v>
      </c>
      <c r="D27" s="62">
        <f t="shared" si="3"/>
        <v>7.0955555555555554</v>
      </c>
      <c r="E27" s="62">
        <f t="shared" si="3"/>
        <v>7.0955555555555554</v>
      </c>
      <c r="F27" s="62">
        <f t="shared" si="3"/>
        <v>7.0933333333333328</v>
      </c>
      <c r="G27" s="62">
        <f t="shared" si="3"/>
        <v>7.0922222222222224</v>
      </c>
      <c r="H27" s="62">
        <f t="shared" si="3"/>
        <v>7.0822222222222235</v>
      </c>
      <c r="I27" s="62">
        <f t="shared" si="3"/>
        <v>7.09</v>
      </c>
      <c r="J27" s="62">
        <f t="shared" si="3"/>
        <v>7.0977777777777771</v>
      </c>
      <c r="K27" s="62">
        <f t="shared" si="3"/>
        <v>7.0855555555555547</v>
      </c>
      <c r="L27" s="62">
        <f t="shared" si="3"/>
        <v>7.0988888888888901</v>
      </c>
      <c r="M27" s="63" t="s">
        <v>28</v>
      </c>
      <c r="N27" s="235">
        <f>IF(COUNT(C27:L27)&lt;1,"",MAX(C27:L27)-MIN(C27:L27))</f>
        <v>1.6666666666666607E-2</v>
      </c>
      <c r="O27" s="236"/>
    </row>
    <row r="28" spans="1:15" ht="16.5" thickTop="1" thickBot="1">
      <c r="A28" s="64" t="s">
        <v>29</v>
      </c>
      <c r="B28" s="65"/>
      <c r="C28" s="65"/>
      <c r="D28" s="66"/>
      <c r="E28" s="66"/>
      <c r="F28" s="66"/>
      <c r="G28" s="66"/>
      <c r="H28" s="66"/>
      <c r="I28" s="66"/>
      <c r="J28" s="66"/>
      <c r="K28" s="66"/>
      <c r="L28" s="66"/>
      <c r="M28" s="67" t="s">
        <v>30</v>
      </c>
      <c r="N28" s="224">
        <f>IF(N16="","",MAX(N20,N16,N24)-MIN(N16,N20,N24))</f>
        <v>2.9999999999992255E-3</v>
      </c>
      <c r="O28" s="225"/>
    </row>
    <row r="29" spans="1:15" ht="16.5" thickTop="1" thickBot="1">
      <c r="A29" s="68" t="s">
        <v>31</v>
      </c>
      <c r="B29" s="65"/>
      <c r="C29" s="65"/>
      <c r="D29" s="65"/>
      <c r="E29" s="66"/>
      <c r="F29" s="66"/>
      <c r="G29" s="66"/>
      <c r="H29" s="66"/>
      <c r="I29" s="66"/>
      <c r="J29" s="66"/>
      <c r="K29" s="66"/>
      <c r="L29" s="69"/>
      <c r="M29" s="70" t="s">
        <v>32</v>
      </c>
      <c r="N29" s="214">
        <f>IF(N18="","",(N18+N22+N26)/3)</f>
        <v>8.6666666666664824E-3</v>
      </c>
      <c r="O29" s="215"/>
    </row>
    <row r="30" spans="1:15" ht="16.5" thickTop="1" thickBot="1">
      <c r="A30" s="71" t="s">
        <v>33</v>
      </c>
      <c r="B30" s="72"/>
      <c r="C30" s="66"/>
      <c r="D30" s="66"/>
      <c r="E30" s="66"/>
      <c r="F30" s="73" t="s">
        <v>34</v>
      </c>
      <c r="G30" s="66"/>
      <c r="H30" s="66"/>
      <c r="I30" s="66"/>
      <c r="J30" s="66"/>
      <c r="K30" s="74" t="s">
        <v>35</v>
      </c>
      <c r="L30" s="75">
        <f>IF(D32=3,N33,IF(D32=2,N32,""))</f>
        <v>2.58</v>
      </c>
      <c r="M30" s="76" t="s">
        <v>36</v>
      </c>
      <c r="N30" s="214">
        <f>IF(L30="","",N29*L30)</f>
        <v>2.2359999999999526E-2</v>
      </c>
      <c r="O30" s="215"/>
    </row>
    <row r="31" spans="1:15" ht="16.5" thickTop="1">
      <c r="A31" s="216" t="s">
        <v>15</v>
      </c>
      <c r="B31" s="217"/>
      <c r="C31" s="218"/>
      <c r="D31" s="77">
        <f>COUNT(A15:A26)</f>
        <v>3</v>
      </c>
      <c r="E31" s="219" t="s">
        <v>37</v>
      </c>
      <c r="F31" s="220"/>
      <c r="G31" s="221" t="s">
        <v>38</v>
      </c>
      <c r="H31" s="222"/>
      <c r="I31" s="183" t="s">
        <v>39</v>
      </c>
      <c r="J31" s="183"/>
      <c r="K31" s="223" t="s">
        <v>40</v>
      </c>
      <c r="L31" s="222"/>
      <c r="M31" s="78" t="s">
        <v>41</v>
      </c>
      <c r="N31" s="79" t="s">
        <v>42</v>
      </c>
      <c r="O31" s="80"/>
    </row>
    <row r="32" spans="1:15">
      <c r="A32" s="196" t="s">
        <v>43</v>
      </c>
      <c r="B32" s="197"/>
      <c r="C32" s="198"/>
      <c r="D32" s="81">
        <f>COUNT(C15:C17)</f>
        <v>3</v>
      </c>
      <c r="E32" s="199" t="s">
        <v>44</v>
      </c>
      <c r="F32" s="200"/>
      <c r="G32" s="201">
        <v>2</v>
      </c>
      <c r="H32" s="202"/>
      <c r="I32" s="203">
        <v>0.70709999999999995</v>
      </c>
      <c r="J32" s="203"/>
      <c r="K32" s="204">
        <v>2</v>
      </c>
      <c r="L32" s="202"/>
      <c r="M32" s="82">
        <v>0.88619999999999999</v>
      </c>
      <c r="N32" s="83">
        <v>3.27</v>
      </c>
      <c r="O32" s="84"/>
    </row>
    <row r="33" spans="1:15" ht="15.75" thickBot="1">
      <c r="A33" s="205" t="s">
        <v>45</v>
      </c>
      <c r="B33" s="206"/>
      <c r="C33" s="207"/>
      <c r="D33" s="85">
        <f>COUNT(C15:L15)</f>
        <v>10</v>
      </c>
      <c r="E33" s="208" t="s">
        <v>46</v>
      </c>
      <c r="F33" s="209"/>
      <c r="G33" s="210">
        <v>3</v>
      </c>
      <c r="H33" s="211"/>
      <c r="I33" s="212">
        <v>0.52310000000000001</v>
      </c>
      <c r="J33" s="212"/>
      <c r="K33" s="213">
        <v>3</v>
      </c>
      <c r="L33" s="211"/>
      <c r="M33" s="86">
        <v>0.59079999999999999</v>
      </c>
      <c r="N33" s="87">
        <v>2.58</v>
      </c>
      <c r="O33" s="88"/>
    </row>
    <row r="34" spans="1:15" ht="15.75" thickTop="1">
      <c r="A34" s="182" t="s">
        <v>47</v>
      </c>
      <c r="B34" s="183"/>
      <c r="C34" s="89">
        <v>2</v>
      </c>
      <c r="D34" s="90">
        <v>3</v>
      </c>
      <c r="E34" s="89">
        <v>4</v>
      </c>
      <c r="F34" s="90">
        <v>5</v>
      </c>
      <c r="G34" s="89">
        <v>6</v>
      </c>
      <c r="H34" s="90">
        <v>7</v>
      </c>
      <c r="I34" s="89">
        <v>8</v>
      </c>
      <c r="J34" s="89">
        <v>9</v>
      </c>
      <c r="K34" s="78">
        <v>10</v>
      </c>
      <c r="L34" s="91"/>
      <c r="M34" s="92"/>
      <c r="N34" s="92"/>
      <c r="O34" s="93"/>
    </row>
    <row r="35" spans="1:15" ht="16.5" thickBot="1">
      <c r="A35" s="184" t="s">
        <v>48</v>
      </c>
      <c r="B35" s="185"/>
      <c r="C35" s="94">
        <v>0.70709999999999995</v>
      </c>
      <c r="D35" s="95">
        <v>0.52310000000000001</v>
      </c>
      <c r="E35" s="95">
        <v>0.44669999999999999</v>
      </c>
      <c r="F35" s="95">
        <v>0.40300000000000002</v>
      </c>
      <c r="G35" s="95">
        <v>0.37419999999999998</v>
      </c>
      <c r="H35" s="95">
        <v>0.35339999999999999</v>
      </c>
      <c r="I35" s="95">
        <v>0.33750000000000002</v>
      </c>
      <c r="J35" s="95">
        <v>0.32490000000000002</v>
      </c>
      <c r="K35" s="96">
        <v>0.31459999999999999</v>
      </c>
      <c r="L35" s="97"/>
      <c r="M35" s="98"/>
      <c r="N35" s="98"/>
      <c r="O35" s="99"/>
    </row>
    <row r="36" spans="1:15" ht="35.25" customHeight="1" thickTop="1" thickBot="1">
      <c r="A36" s="186" t="s">
        <v>49</v>
      </c>
      <c r="B36" s="187"/>
      <c r="C36" s="187"/>
      <c r="D36" s="187"/>
      <c r="E36" s="187"/>
      <c r="F36" s="187"/>
      <c r="G36" s="187"/>
      <c r="H36" s="187"/>
      <c r="I36" s="187"/>
      <c r="J36" s="187"/>
      <c r="K36" s="187"/>
      <c r="L36" s="187"/>
      <c r="M36" s="187"/>
      <c r="N36" s="187"/>
      <c r="O36" s="188"/>
    </row>
    <row r="37" spans="1:15" ht="15.75" customHeight="1" thickTop="1">
      <c r="A37" s="165" t="s">
        <v>50</v>
      </c>
      <c r="B37" s="190" t="s">
        <v>51</v>
      </c>
      <c r="C37" s="191"/>
      <c r="D37" s="190" t="s">
        <v>52</v>
      </c>
      <c r="E37" s="192"/>
      <c r="F37" s="191"/>
      <c r="G37" s="190" t="s">
        <v>53</v>
      </c>
      <c r="H37" s="192"/>
      <c r="I37" s="191"/>
      <c r="J37" s="190" t="s">
        <v>54</v>
      </c>
      <c r="K37" s="192"/>
      <c r="L37" s="191"/>
      <c r="M37" s="193" t="s">
        <v>55</v>
      </c>
      <c r="N37" s="194"/>
      <c r="O37" s="195"/>
    </row>
    <row r="38" spans="1:15" ht="23.25">
      <c r="A38" s="189"/>
      <c r="B38" s="176" t="s">
        <v>56</v>
      </c>
      <c r="C38" s="178"/>
      <c r="D38" s="176" t="s">
        <v>57</v>
      </c>
      <c r="E38" s="177"/>
      <c r="F38" s="178"/>
      <c r="G38" s="176" t="s">
        <v>58</v>
      </c>
      <c r="H38" s="177"/>
      <c r="I38" s="178"/>
      <c r="J38" s="176" t="s">
        <v>59</v>
      </c>
      <c r="K38" s="177"/>
      <c r="L38" s="178"/>
      <c r="M38" s="176" t="s">
        <v>60</v>
      </c>
      <c r="N38" s="177"/>
      <c r="O38" s="179"/>
    </row>
    <row r="39" spans="1:15" ht="16.5" thickBot="1">
      <c r="A39" s="166"/>
      <c r="B39" s="100" t="s">
        <v>61</v>
      </c>
      <c r="C39" s="101">
        <f>IF(C15="","",IF(COUNT(C15:C17)&lt;3,N29*M32,N29*M33))</f>
        <v>5.1202666666665579E-3</v>
      </c>
      <c r="D39" s="102" t="s">
        <v>62</v>
      </c>
      <c r="E39" s="103">
        <f>IF(C39="","",IF(POWER(N28*SUMIF(G32:H33,D31,I32:J33),2)-POWER(C39,2)/(D33*D32)&lt;0,"0.000",SQRT(POWER(N28*SUMIF(G32:H33,D31,I32:J33),2)-POWER(C39,2)/(D33*D32))))</f>
        <v>1.2604753595659218E-3</v>
      </c>
      <c r="F39" s="104"/>
      <c r="G39" s="102" t="s">
        <v>63</v>
      </c>
      <c r="H39" s="105">
        <f>IF(E39="","",SQRT(POWER(C39,2)+POWER(E39,2)))</f>
        <v>5.2731327377422907E-3</v>
      </c>
      <c r="I39" s="104"/>
      <c r="J39" s="102" t="s">
        <v>64</v>
      </c>
      <c r="K39" s="105">
        <f>IF(H39="","",N27*SUMIF(C34:K34,D33,C35:K35))</f>
        <v>5.2433333333333143E-3</v>
      </c>
      <c r="L39" s="106"/>
      <c r="M39" s="107" t="s">
        <v>65</v>
      </c>
      <c r="N39" s="105">
        <f>IF(H39="","",SQRT(POWER(H39,2)+POWER(K39,2)))</f>
        <v>7.4362943267661042E-3</v>
      </c>
      <c r="O39" s="99"/>
    </row>
    <row r="40" spans="1:15" ht="16.5" customHeight="1" thickTop="1">
      <c r="A40" s="165" t="s">
        <v>66</v>
      </c>
      <c r="B40" s="180" t="s">
        <v>67</v>
      </c>
      <c r="C40" s="181"/>
      <c r="D40" s="176" t="s">
        <v>68</v>
      </c>
      <c r="E40" s="177"/>
      <c r="F40" s="178"/>
      <c r="G40" s="176" t="s">
        <v>69</v>
      </c>
      <c r="H40" s="177"/>
      <c r="I40" s="178"/>
      <c r="J40" s="176" t="s">
        <v>70</v>
      </c>
      <c r="K40" s="177"/>
      <c r="L40" s="178"/>
      <c r="M40" s="176" t="s">
        <v>71</v>
      </c>
      <c r="N40" s="177"/>
      <c r="O40" s="178"/>
    </row>
    <row r="41" spans="1:15" ht="16.5" thickBot="1">
      <c r="A41" s="166"/>
      <c r="B41" s="100" t="s">
        <v>72</v>
      </c>
      <c r="C41" s="108">
        <f>IF(C39="","",C39/$N$39)</f>
        <v>0.68855083482060875</v>
      </c>
      <c r="D41" s="102" t="s">
        <v>73</v>
      </c>
      <c r="E41" s="109">
        <f>IF(E39="","",E39/$N$39)</f>
        <v>0.16950315630044155</v>
      </c>
      <c r="F41" s="104"/>
      <c r="G41" s="102" t="s">
        <v>74</v>
      </c>
      <c r="H41" s="109">
        <f>IF(H39="","",H39/$N$39)</f>
        <v>0.70910758854208378</v>
      </c>
      <c r="I41" s="104"/>
      <c r="J41" s="102" t="s">
        <v>75</v>
      </c>
      <c r="K41" s="109">
        <f>IF(K39="","",K39/$N$39)</f>
        <v>0.70510029632104887</v>
      </c>
      <c r="L41" s="106"/>
      <c r="M41" s="102" t="s">
        <v>76</v>
      </c>
      <c r="N41" s="110">
        <f>1.41*(K39/H39)</f>
        <v>1.4020318409745463</v>
      </c>
      <c r="O41" s="106"/>
    </row>
    <row r="42" spans="1:15" ht="16.5" customHeight="1" thickTop="1">
      <c r="A42" s="165" t="s">
        <v>77</v>
      </c>
      <c r="B42" s="167" t="s">
        <v>78</v>
      </c>
      <c r="C42" s="168"/>
      <c r="D42" s="169" t="s">
        <v>79</v>
      </c>
      <c r="E42" s="170"/>
      <c r="F42" s="171"/>
      <c r="G42" s="169" t="s">
        <v>80</v>
      </c>
      <c r="H42" s="170"/>
      <c r="I42" s="171"/>
      <c r="J42" s="111"/>
      <c r="K42" s="112"/>
      <c r="L42" s="113"/>
      <c r="M42" s="114"/>
      <c r="N42" s="115"/>
      <c r="O42" s="116"/>
    </row>
    <row r="43" spans="1:15" ht="16.5" thickBot="1">
      <c r="A43" s="166"/>
      <c r="B43" s="100" t="s">
        <v>72</v>
      </c>
      <c r="C43" s="117">
        <f>IF(C39="","",C39/($G$11/6))</f>
        <v>6.1443199999998699E-2</v>
      </c>
      <c r="D43" s="102" t="s">
        <v>73</v>
      </c>
      <c r="E43" s="118">
        <f>IF(E39="","",E39/($G$11/6))</f>
        <v>1.5125704314791062E-2</v>
      </c>
      <c r="F43" s="104"/>
      <c r="G43" s="102" t="s">
        <v>74</v>
      </c>
      <c r="H43" s="118">
        <f>IF(H39="","",H39/($G$11/6))</f>
        <v>6.3277592852907488E-2</v>
      </c>
      <c r="I43" s="104"/>
      <c r="J43" s="102"/>
      <c r="K43" s="118"/>
      <c r="L43" s="106"/>
      <c r="M43" s="119"/>
      <c r="N43" s="98"/>
      <c r="O43" s="99"/>
    </row>
    <row r="44" spans="1:15" ht="16.5" thickTop="1" thickBot="1">
      <c r="A44" s="120" t="s">
        <v>81</v>
      </c>
      <c r="B44" s="121"/>
      <c r="C44" s="121"/>
      <c r="D44" s="121"/>
      <c r="E44" s="121"/>
      <c r="F44" s="121"/>
      <c r="G44" s="121"/>
      <c r="H44" s="121"/>
      <c r="I44" s="122" t="s">
        <v>82</v>
      </c>
      <c r="J44" s="121"/>
      <c r="K44" s="121"/>
      <c r="L44" s="121"/>
      <c r="M44" s="121"/>
      <c r="N44" s="121"/>
      <c r="O44" s="123"/>
    </row>
    <row r="45" spans="1:15" ht="15.75" customHeight="1" thickTop="1">
      <c r="A45" s="124"/>
      <c r="B45" s="125"/>
      <c r="C45" s="125"/>
      <c r="D45" s="125"/>
      <c r="E45" s="125"/>
      <c r="F45" s="125"/>
      <c r="G45" s="125"/>
      <c r="H45" s="125"/>
      <c r="I45" s="172" t="s">
        <v>83</v>
      </c>
      <c r="J45" s="173"/>
      <c r="K45" s="174" t="s">
        <v>84</v>
      </c>
      <c r="L45" s="174"/>
      <c r="M45" s="174"/>
      <c r="N45" s="174"/>
      <c r="O45" s="175"/>
    </row>
    <row r="46" spans="1:15" ht="18" customHeight="1">
      <c r="A46" s="124"/>
      <c r="B46" s="125"/>
      <c r="C46" s="125"/>
      <c r="D46" s="125"/>
      <c r="E46" s="125"/>
      <c r="F46" s="125"/>
      <c r="G46" s="125"/>
      <c r="H46" s="125"/>
      <c r="I46" s="153" t="s">
        <v>85</v>
      </c>
      <c r="J46" s="154"/>
      <c r="K46" s="155" t="s">
        <v>86</v>
      </c>
      <c r="L46" s="155"/>
      <c r="M46" s="155"/>
      <c r="N46" s="155"/>
      <c r="O46" s="156"/>
    </row>
    <row r="47" spans="1:15" ht="25.5" customHeight="1">
      <c r="A47" s="124"/>
      <c r="B47" s="125"/>
      <c r="C47" s="125"/>
      <c r="D47" s="125"/>
      <c r="E47" s="125"/>
      <c r="F47" s="125"/>
      <c r="G47" s="125"/>
      <c r="H47" s="125"/>
      <c r="I47" s="157" t="s">
        <v>87</v>
      </c>
      <c r="J47" s="158"/>
      <c r="K47" s="159" t="s">
        <v>88</v>
      </c>
      <c r="L47" s="159"/>
      <c r="M47" s="159"/>
      <c r="N47" s="159"/>
      <c r="O47" s="160"/>
    </row>
    <row r="48" spans="1:15" ht="29.25" customHeight="1" thickBot="1">
      <c r="A48" s="124"/>
      <c r="B48" s="125"/>
      <c r="C48" s="125"/>
      <c r="D48" s="125"/>
      <c r="E48" s="125"/>
      <c r="F48" s="125"/>
      <c r="G48" s="125"/>
      <c r="H48" s="125"/>
      <c r="I48" s="161" t="s">
        <v>89</v>
      </c>
      <c r="J48" s="162"/>
      <c r="K48" s="163" t="s">
        <v>90</v>
      </c>
      <c r="L48" s="163"/>
      <c r="M48" s="163"/>
      <c r="N48" s="163"/>
      <c r="O48" s="164"/>
    </row>
    <row r="49" spans="1:15" ht="15.75" thickTop="1">
      <c r="A49" s="124"/>
      <c r="B49" s="125"/>
      <c r="C49" s="125"/>
      <c r="D49" s="125"/>
      <c r="E49" s="125"/>
      <c r="F49" s="125"/>
      <c r="G49" s="125"/>
      <c r="H49" s="125"/>
      <c r="I49" s="142" t="s">
        <v>91</v>
      </c>
      <c r="J49" s="143"/>
      <c r="K49" s="143"/>
      <c r="L49" s="143"/>
      <c r="M49" s="143"/>
      <c r="N49" s="143"/>
      <c r="O49" s="144"/>
    </row>
    <row r="50" spans="1:15">
      <c r="A50" s="124"/>
      <c r="B50" s="125"/>
      <c r="C50" s="125"/>
      <c r="D50" s="125"/>
      <c r="E50" s="125"/>
      <c r="F50" s="125"/>
      <c r="G50" s="145"/>
      <c r="H50" s="146"/>
      <c r="I50" s="147" t="s">
        <v>92</v>
      </c>
      <c r="J50" s="148"/>
      <c r="K50" s="148"/>
      <c r="L50" s="148"/>
      <c r="M50" s="148"/>
      <c r="N50" s="148"/>
      <c r="O50" s="149"/>
    </row>
    <row r="51" spans="1:15" ht="15" customHeight="1">
      <c r="A51" s="124"/>
      <c r="B51" s="125"/>
      <c r="C51" s="125"/>
      <c r="D51" s="125"/>
      <c r="E51" s="125"/>
      <c r="F51" s="125"/>
      <c r="G51" s="126"/>
      <c r="H51" s="127"/>
      <c r="I51" s="150" t="s">
        <v>93</v>
      </c>
      <c r="J51" s="151"/>
      <c r="K51" s="151"/>
      <c r="L51" s="151"/>
      <c r="M51" s="151"/>
      <c r="N51" s="151"/>
      <c r="O51" s="152"/>
    </row>
    <row r="52" spans="1:15">
      <c r="A52" s="124"/>
      <c r="B52" s="125"/>
      <c r="C52" s="125"/>
      <c r="D52" s="125"/>
      <c r="E52" s="125"/>
      <c r="F52" s="125"/>
      <c r="G52" s="126"/>
      <c r="H52" s="127"/>
      <c r="I52" s="136" t="s">
        <v>94</v>
      </c>
      <c r="J52" s="137"/>
      <c r="K52" s="137"/>
      <c r="L52" s="137"/>
      <c r="M52" s="137"/>
      <c r="N52" s="137"/>
      <c r="O52" s="138"/>
    </row>
    <row r="53" spans="1:15">
      <c r="A53" s="124"/>
      <c r="B53" s="125"/>
      <c r="C53" s="125"/>
      <c r="D53" s="125"/>
      <c r="E53" s="125"/>
      <c r="F53" s="125"/>
      <c r="G53" s="126"/>
      <c r="H53" s="127"/>
      <c r="I53" s="147" t="s">
        <v>95</v>
      </c>
      <c r="J53" s="148"/>
      <c r="K53" s="148"/>
      <c r="L53" s="148"/>
      <c r="M53" s="148"/>
      <c r="N53" s="148"/>
      <c r="O53" s="149"/>
    </row>
    <row r="54" spans="1:15">
      <c r="A54" s="124"/>
      <c r="B54" s="125"/>
      <c r="C54" s="125"/>
      <c r="D54" s="125"/>
      <c r="E54" s="125"/>
      <c r="F54" s="125"/>
      <c r="G54" s="126"/>
      <c r="H54" s="127"/>
      <c r="I54" s="136" t="s">
        <v>96</v>
      </c>
      <c r="J54" s="137"/>
      <c r="K54" s="137"/>
      <c r="L54" s="137"/>
      <c r="M54" s="137"/>
      <c r="N54" s="137"/>
      <c r="O54" s="138"/>
    </row>
    <row r="55" spans="1:15" ht="15.75" thickBot="1">
      <c r="A55" s="128"/>
      <c r="B55" s="129"/>
      <c r="C55" s="129"/>
      <c r="D55" s="129"/>
      <c r="E55" s="129"/>
      <c r="F55" s="129"/>
      <c r="G55" s="130"/>
      <c r="H55" s="131"/>
      <c r="I55" s="139" t="s">
        <v>97</v>
      </c>
      <c r="J55" s="140"/>
      <c r="K55" s="140"/>
      <c r="L55" s="140"/>
      <c r="M55" s="140"/>
      <c r="N55" s="140"/>
      <c r="O55" s="141"/>
    </row>
    <row r="56" spans="1:15" ht="15.75" thickTop="1">
      <c r="A56" t="s">
        <v>107</v>
      </c>
    </row>
  </sheetData>
  <mergeCells count="87">
    <mergeCell ref="I54:O54"/>
    <mergeCell ref="I55:O55"/>
    <mergeCell ref="I49:O49"/>
    <mergeCell ref="G50:H50"/>
    <mergeCell ref="I50:O50"/>
    <mergeCell ref="I51:O51"/>
    <mergeCell ref="I52:O52"/>
    <mergeCell ref="I53:O53"/>
    <mergeCell ref="I46:J46"/>
    <mergeCell ref="K46:O46"/>
    <mergeCell ref="I47:J47"/>
    <mergeCell ref="K47:O47"/>
    <mergeCell ref="I48:J48"/>
    <mergeCell ref="K48:O48"/>
    <mergeCell ref="A42:A43"/>
    <mergeCell ref="B42:C42"/>
    <mergeCell ref="D42:F42"/>
    <mergeCell ref="G42:I42"/>
    <mergeCell ref="I45:J45"/>
    <mergeCell ref="K45:O45"/>
    <mergeCell ref="D38:F38"/>
    <mergeCell ref="G38:I38"/>
    <mergeCell ref="J38:L38"/>
    <mergeCell ref="M38:O38"/>
    <mergeCell ref="M40:O40"/>
    <mergeCell ref="A40:A41"/>
    <mergeCell ref="B40:C40"/>
    <mergeCell ref="D40:F40"/>
    <mergeCell ref="G40:I40"/>
    <mergeCell ref="J40:L40"/>
    <mergeCell ref="A34:B34"/>
    <mergeCell ref="A35:B35"/>
    <mergeCell ref="A36:O36"/>
    <mergeCell ref="A37:A39"/>
    <mergeCell ref="B37:C37"/>
    <mergeCell ref="D37:F37"/>
    <mergeCell ref="G37:I37"/>
    <mergeCell ref="J37:L37"/>
    <mergeCell ref="M37:O37"/>
    <mergeCell ref="B38:C38"/>
    <mergeCell ref="A32:C32"/>
    <mergeCell ref="E32:F32"/>
    <mergeCell ref="G32:H32"/>
    <mergeCell ref="I32:J32"/>
    <mergeCell ref="K32:L32"/>
    <mergeCell ref="A33:C33"/>
    <mergeCell ref="E33:F33"/>
    <mergeCell ref="G33:H33"/>
    <mergeCell ref="I33:J33"/>
    <mergeCell ref="K33:L33"/>
    <mergeCell ref="N29:O29"/>
    <mergeCell ref="N30:O30"/>
    <mergeCell ref="A31:C31"/>
    <mergeCell ref="E31:F31"/>
    <mergeCell ref="G31:H31"/>
    <mergeCell ref="I31:J31"/>
    <mergeCell ref="K31:L31"/>
    <mergeCell ref="N28:O28"/>
    <mergeCell ref="A15:A17"/>
    <mergeCell ref="N16:O16"/>
    <mergeCell ref="N18:O18"/>
    <mergeCell ref="A19:A21"/>
    <mergeCell ref="N20:O20"/>
    <mergeCell ref="N22:O22"/>
    <mergeCell ref="A23:A25"/>
    <mergeCell ref="N24:O24"/>
    <mergeCell ref="N26:O26"/>
    <mergeCell ref="A27:B27"/>
    <mergeCell ref="N27:O27"/>
    <mergeCell ref="D9:I9"/>
    <mergeCell ref="E11:F11"/>
    <mergeCell ref="J11:K11"/>
    <mergeCell ref="L11:M11"/>
    <mergeCell ref="N11:O11"/>
    <mergeCell ref="A13:A14"/>
    <mergeCell ref="B13:B14"/>
    <mergeCell ref="C13:L13"/>
    <mergeCell ref="M13:M14"/>
    <mergeCell ref="N13:O14"/>
    <mergeCell ref="A1:O1"/>
    <mergeCell ref="A2:N2"/>
    <mergeCell ref="A3:C3"/>
    <mergeCell ref="J3:O3"/>
    <mergeCell ref="D4:I4"/>
    <mergeCell ref="J4:K4"/>
    <mergeCell ref="L4:M4"/>
    <mergeCell ref="N4:O4"/>
  </mergeCells>
  <pageMargins left="0" right="0" top="0" bottom="0" header="0" footer="0"/>
  <pageSetup scale="77"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MSA KOSONG</vt:lpstr>
      <vt:lpstr>MSA ISI 1</vt:lpstr>
      <vt:lpstr>MSA ISI 2</vt:lpstr>
      <vt:lpstr>MSA ISI 3</vt:lpstr>
      <vt:lpstr>MSA ISI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user</cp:lastModifiedBy>
  <cp:lastPrinted>2023-12-19T10:06:04Z</cp:lastPrinted>
  <dcterms:created xsi:type="dcterms:W3CDTF">2015-06-05T18:17:20Z</dcterms:created>
  <dcterms:modified xsi:type="dcterms:W3CDTF">2025-09-22T06:24:18Z</dcterms:modified>
</cp:coreProperties>
</file>